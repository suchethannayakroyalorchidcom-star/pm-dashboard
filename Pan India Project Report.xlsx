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D:\suchethan\PAN INDIA PROJECTS - New\"/>
    </mc:Choice>
  </mc:AlternateContent>
  <xr:revisionPtr revIDLastSave="0" documentId="13_ncr:1_{E10A71D0-0B8C-4357-A22E-C58A628A7860}" xr6:coauthVersionLast="47" xr6:coauthVersionMax="47" xr10:uidLastSave="{00000000-0000-0000-0000-000000000000}"/>
  <bookViews>
    <workbookView xWindow="-120" yWindow="-120" windowWidth="29040" windowHeight="15720" tabRatio="742" activeTab="7" xr2:uid="{00000000-000D-0000-FFFF-FFFF00000000}"/>
  </bookViews>
  <sheets>
    <sheet name="Pan India Summary" sheetId="9" r:id="rId1"/>
    <sheet name="1. Additional" sheetId="12" r:id="rId2"/>
    <sheet name="2. North projects" sheetId="3" r:id="rId3"/>
    <sheet name="3. Mr.Ajith Kumar" sheetId="2" r:id="rId4"/>
    <sheet name="4. Mr. Kunal" sheetId="5" r:id="rId5"/>
    <sheet name="5. Mr. Vikas passi" sheetId="1" r:id="rId6"/>
    <sheet name="6. Mr. Shivam verma" sheetId="4" r:id="rId7"/>
    <sheet name="7. Mr. Sarvanan " sheetId="6" r:id="rId8"/>
  </sheets>
  <definedNames>
    <definedName name="_xlnm.Print_Area" localSheetId="3">'3. Mr.Ajith Kumar'!$A$1:$T$8</definedName>
    <definedName name="_xlnm.Print_Area" localSheetId="4">'4. Mr. Kunal'!$A$1:$U$7</definedName>
  </definedNames>
  <calcPr calcId="191029"/>
  <customWorkbookViews>
    <customWorkbookView name="Admin - Personal View" guid="{DA27B973-C9F9-4BB8-8F0D-2541CE7CF8F4}" mergeInterval="0" personalView="1" windowWidth="1920" windowHeight="1032"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5" l="1"/>
  <c r="H10" i="1" l="1"/>
  <c r="G5" i="4" l="1"/>
  <c r="E8" i="9" s="1"/>
  <c r="G10" i="3"/>
  <c r="E4" i="9" s="1"/>
  <c r="E3" i="9"/>
  <c r="G4" i="12"/>
  <c r="A10" i="3"/>
  <c r="H4" i="6" l="1"/>
  <c r="H14" i="1"/>
  <c r="A4" i="12"/>
  <c r="D3" i="9" s="1"/>
  <c r="I5" i="5"/>
  <c r="H4" i="2"/>
  <c r="H4" i="1" l="1"/>
  <c r="A5" i="6" l="1"/>
  <c r="D9" i="9" s="1"/>
  <c r="A5" i="4"/>
  <c r="D8" i="9" s="1"/>
  <c r="A16" i="1"/>
  <c r="D7" i="9" s="1"/>
  <c r="A7" i="5"/>
  <c r="D6" i="9" s="1"/>
  <c r="A8" i="2"/>
  <c r="D5" i="9" s="1"/>
  <c r="D4" i="9"/>
  <c r="D10" i="9" l="1"/>
  <c r="H15" i="1"/>
  <c r="G16" i="1"/>
  <c r="G8" i="2" l="1"/>
  <c r="H5" i="2"/>
  <c r="G5" i="6" l="1"/>
  <c r="E9" i="9" s="1"/>
  <c r="H11" i="1"/>
  <c r="H8" i="1"/>
  <c r="H6" i="1"/>
  <c r="I6" i="5"/>
  <c r="H5" i="3"/>
  <c r="H7" i="2" l="1"/>
  <c r="H6" i="2"/>
  <c r="H3" i="2"/>
  <c r="E5" i="9"/>
  <c r="H7" i="1" l="1"/>
  <c r="E7" i="9"/>
  <c r="I4" i="5"/>
  <c r="H7" i="5"/>
  <c r="E6" i="9" s="1"/>
  <c r="E10" i="9" s="1"/>
</calcChain>
</file>

<file path=xl/sharedStrings.xml><?xml version="1.0" encoding="utf-8"?>
<sst xmlns="http://schemas.openxmlformats.org/spreadsheetml/2006/main" count="545" uniqueCount="374">
  <si>
    <t>S.NO.</t>
  </si>
  <si>
    <t>LOCATION</t>
  </si>
  <si>
    <t>NO. OF KEYS</t>
  </si>
  <si>
    <t>Mr Nikhlesh Satani</t>
  </si>
  <si>
    <t>CONTACT DETAILS</t>
  </si>
  <si>
    <t xml:space="preserve">ARCHITECT </t>
  </si>
  <si>
    <t>SATYENDRA - DESIGN NAVIGATE</t>
  </si>
  <si>
    <t>9810086477 </t>
  </si>
  <si>
    <t>RAJKOT</t>
  </si>
  <si>
    <t xml:space="preserve">Regenta Central </t>
  </si>
  <si>
    <t>Mr. Bakir Gandhi</t>
  </si>
  <si>
    <t>Mr. MEHBOOB LIGHTWALA</t>
  </si>
  <si>
    <t xml:space="preserve">NANDED </t>
  </si>
  <si>
    <t>Mr. Ashish Kotgire</t>
  </si>
  <si>
    <t>Mr. Rahul Malviya</t>
  </si>
  <si>
    <t>Mr. Rishi</t>
  </si>
  <si>
    <t>Mulshi</t>
  </si>
  <si>
    <t xml:space="preserve">Mr. Harish </t>
  </si>
  <si>
    <t>Ms. Poorva Shinde</t>
  </si>
  <si>
    <t xml:space="preserve">Total </t>
  </si>
  <si>
    <t xml:space="preserve">Thirupathi </t>
  </si>
  <si>
    <t xml:space="preserve">Mr. Girish </t>
  </si>
  <si>
    <t>Regenta central</t>
  </si>
  <si>
    <t>Mr. Harain Murthy</t>
  </si>
  <si>
    <t xml:space="preserve">Regenta Resorts </t>
  </si>
  <si>
    <t>Bhuj</t>
  </si>
  <si>
    <t>Regenta central Bhuj</t>
  </si>
  <si>
    <t>Mr.Kiren Chedda</t>
  </si>
  <si>
    <t>Mr. Anil Thakkur</t>
  </si>
  <si>
    <t>Regenta INN ANJAR</t>
  </si>
  <si>
    <t>Mr. Harish Chauhan</t>
  </si>
  <si>
    <t>Mr. Nirav Sonagra</t>
  </si>
  <si>
    <t>Mr. Harish Balani</t>
  </si>
  <si>
    <t>Mr. Yashraj Kamdar</t>
  </si>
  <si>
    <t>91 73741 111</t>
  </si>
  <si>
    <t xml:space="preserve">Gurugram </t>
  </si>
  <si>
    <t xml:space="preserve">Goa </t>
  </si>
  <si>
    <t>Mr. Bharat</t>
  </si>
  <si>
    <t>RENDERINGS</t>
  </si>
  <si>
    <t>PRESENT WORK STATUS AT SITE</t>
  </si>
  <si>
    <t>PROJECT SCHEDULE</t>
  </si>
  <si>
    <t>ARCHITECTURAL DRAWINGS</t>
  </si>
  <si>
    <t>INTERNAL MEMORANDUM</t>
  </si>
  <si>
    <t>ARCHITECT PORTFOLIO</t>
  </si>
  <si>
    <t>Mr.Narendra Singh Gohil</t>
  </si>
  <si>
    <t>Panchgani</t>
  </si>
  <si>
    <t>Regenta Resort</t>
  </si>
  <si>
    <t>Mr. Dhaval</t>
  </si>
  <si>
    <t>Tina Bhai</t>
  </si>
  <si>
    <t>Bharti / Uruli kanchan</t>
  </si>
  <si>
    <t xml:space="preserve">Mr. Sandeep </t>
  </si>
  <si>
    <t xml:space="preserve">Mr. Ashwin </t>
  </si>
  <si>
    <t>Mr.Ravindra Balu Bharti</t>
  </si>
  <si>
    <t>STATE</t>
  </si>
  <si>
    <t>GUJARAT</t>
  </si>
  <si>
    <t>MAHARASHTRA</t>
  </si>
  <si>
    <t>ANDHRA PRADESH</t>
  </si>
  <si>
    <t>Mr Kunal</t>
  </si>
  <si>
    <t>Regenta</t>
  </si>
  <si>
    <t>TOTAL</t>
  </si>
  <si>
    <t>CLUSTER HEAD</t>
  </si>
  <si>
    <t>TBD</t>
  </si>
  <si>
    <t>Total</t>
  </si>
  <si>
    <t>Mr.Sarvanan</t>
  </si>
  <si>
    <t>Mr.Shiwam Verma</t>
  </si>
  <si>
    <t>Mr.Vikas Passi</t>
  </si>
  <si>
    <t>Mr.Ajith kumar</t>
  </si>
  <si>
    <t>Total Keys</t>
  </si>
  <si>
    <t>Hotels</t>
  </si>
  <si>
    <t>Locations covered</t>
  </si>
  <si>
    <t>Cluster head</t>
  </si>
  <si>
    <t>Sl no</t>
  </si>
  <si>
    <t>PAN INDIA HOTEL PROJECT SUMMARY(AS OF JUNE 2025)</t>
  </si>
  <si>
    <t>Haryana</t>
  </si>
  <si>
    <t>-</t>
  </si>
  <si>
    <t>CONTACT DETAILS OF ARCHITECTS</t>
  </si>
  <si>
    <t>OPENING DATE</t>
  </si>
  <si>
    <t xml:space="preserve"> OPENING DATE</t>
  </si>
  <si>
    <t>Bhadohi</t>
  </si>
  <si>
    <t>Jamshedpur</t>
  </si>
  <si>
    <t>Tezpur</t>
  </si>
  <si>
    <t>Mr. Kunal</t>
  </si>
  <si>
    <t>Uttar Pradesh</t>
  </si>
  <si>
    <t>Jharkhand</t>
  </si>
  <si>
    <t>Assam</t>
  </si>
  <si>
    <t>Regenta Central</t>
  </si>
  <si>
    <t>Regenta Place</t>
  </si>
  <si>
    <t>Mr. Puneet Mehra</t>
  </si>
  <si>
    <t>Mr. Harish</t>
  </si>
  <si>
    <t>Patna</t>
  </si>
  <si>
    <t>Bihar</t>
  </si>
  <si>
    <t>Mr.Kunal</t>
  </si>
  <si>
    <t>Regenta Z</t>
  </si>
  <si>
    <t>Mr.Anurag</t>
  </si>
  <si>
    <t>0</t>
  </si>
  <si>
    <t>Mundra</t>
  </si>
  <si>
    <t>Vododara</t>
  </si>
  <si>
    <t>Gir</t>
  </si>
  <si>
    <t>Bhavnagar</t>
  </si>
  <si>
    <t>Anjar</t>
  </si>
  <si>
    <t>Gujarat</t>
  </si>
  <si>
    <t>Mr. Gaikwad</t>
  </si>
  <si>
    <t>Mr.Kishan</t>
  </si>
  <si>
    <t>CONTACT DETAILS OF ARCHITECT</t>
  </si>
  <si>
    <t>TOTAL KEYS</t>
  </si>
  <si>
    <t>Sl.No</t>
  </si>
  <si>
    <t>Mall road Mussoorie</t>
  </si>
  <si>
    <t>Lucknow</t>
  </si>
  <si>
    <t>Mussoorie</t>
  </si>
  <si>
    <t>Uttarakhand</t>
  </si>
  <si>
    <t xml:space="preserve"> Uttar pradesh</t>
  </si>
  <si>
    <t>Tapasya</t>
  </si>
  <si>
    <t xml:space="preserve"> HOTEL NAME</t>
  </si>
  <si>
    <t xml:space="preserve"> OWNER</t>
  </si>
  <si>
    <t>Ms.Saylee-total integrated design pvt ltd</t>
  </si>
  <si>
    <t xml:space="preserve">CONTACT DETAILS </t>
  </si>
  <si>
    <t>Kattu shamji</t>
  </si>
  <si>
    <t>Bhopal</t>
  </si>
  <si>
    <t>Pushkar</t>
  </si>
  <si>
    <t>Chittogarh,     bari sadri</t>
  </si>
  <si>
    <t>Rajasthan</t>
  </si>
  <si>
    <t>Madya pradesh</t>
  </si>
  <si>
    <t>Regenta kailash</t>
  </si>
  <si>
    <t>Regenta resort</t>
  </si>
  <si>
    <t>Mr. Himanshu</t>
  </si>
  <si>
    <t>Mr. Yogendra tripathi</t>
  </si>
  <si>
    <t>Mr. Sanjay chaudhary</t>
  </si>
  <si>
    <t>Mr. Dinesh yadav</t>
  </si>
  <si>
    <t>HOTEL NAME</t>
  </si>
  <si>
    <t>E/P CONTACT DETAILS</t>
  </si>
  <si>
    <t>PROJECT FEEDBACK</t>
  </si>
  <si>
    <t>ENGINEERS/   PROJECT MANAGERS AT SITE</t>
  </si>
  <si>
    <t>Mr. Vijay kapoor</t>
  </si>
  <si>
    <t>https://workdrive.zohopublic.in/file/qusyg9ef214c951f74462b90710cc7fdf1fd4</t>
  </si>
  <si>
    <t>https://workdrive.zohopublic.in/file/qusygce62f3453d0946039297c7fa063e8acd</t>
  </si>
  <si>
    <t>https://workdrive.zohopublic.in/file/qusyge34d476afc4d412782395166c4f7fc44</t>
  </si>
  <si>
    <t>Design BNK-Mr.Behzad</t>
  </si>
  <si>
    <t xml:space="preserve"> 99201 16767</t>
  </si>
  <si>
    <t>Studio whizztech - Tarun kumar</t>
  </si>
  <si>
    <t>https://workdrive.zohopublic.in/folder/qusyg8c0001c0a6124df3a3dafa2ae787d660</t>
  </si>
  <si>
    <t>https://workdrive.zohopublic.in/folder/qusyg32a71378106b4a41a14b57cf99ed3196</t>
  </si>
  <si>
    <t>https://workdrive.zohopublic.in/folder/qusygce323cf0f36940cda2302f144c9c59f4</t>
  </si>
  <si>
    <t>https://workdrive.zohopublic.in/folder/qusyg90d67765b7934d95bf5f194b12ab2c27</t>
  </si>
  <si>
    <t>https://workdrive.zohopublic.in/folder/qusygaf6b1398826846edb7550058bd3ac066</t>
  </si>
  <si>
    <t>https://workdrive.zohopublic.in/folder/qusyg006f00a722a646e68d36d6e52b611cb9</t>
  </si>
  <si>
    <t>PROJECT STATUS</t>
  </si>
  <si>
    <t>Mockup room in progress</t>
  </si>
  <si>
    <t>Civil &amp;Interior Work in progress</t>
  </si>
  <si>
    <t>Guest &amp;Corridor design Approved rest in progress</t>
  </si>
  <si>
    <t>It is in design stage</t>
  </si>
  <si>
    <t>https://workdrive.zohopublic.in/folder/qusyg3bc30b376cfe427881ce0d81fe78fdc6</t>
  </si>
  <si>
    <t>https://workdrive.zohopublic.in/folder/qusyg842a273b31624ebbb65184aabdc519f3</t>
  </si>
  <si>
    <t>https://workdrive.zohopublic.in/folder/qusyga4657f27954d4479a98629f0c37268b4</t>
  </si>
  <si>
    <t>Mr.Anil Chauhan</t>
  </si>
  <si>
    <t>Mr. Rishi - CEO</t>
  </si>
  <si>
    <t>https://workdrive.zohopublic.in/folder/qusygd280634fb2574f6bb6f6041a766c9da6</t>
  </si>
  <si>
    <t>https://workdrive.zohopublic.in/folder/qusygd6b8b63993df454abebbafbf73b2ca9a</t>
  </si>
  <si>
    <t>https://workdrive.zohopublic.in/folder/qusyge274ad472c4249f4ab9e7496514cec2e</t>
  </si>
  <si>
    <t>https://workdrive.zohopublic.in/folder/qusyg1a86a8adb6164873a4b8bf4852a6524d</t>
  </si>
  <si>
    <t>https://workdrive.zohopublic.in/file/qusyg16dfd9ad70224d3a9e8fa5655deb6f93</t>
  </si>
  <si>
    <t>https://workdrive.zohopublic.in/file/qusyg3ce6f9245cd641db96f678ed12da8dbf</t>
  </si>
  <si>
    <t>ENGINEERS /                 PROJECT MANAGERS AT SITE</t>
  </si>
  <si>
    <t>CLUSTER HEAD - MR. AJITH KUMAR</t>
  </si>
  <si>
    <t>Civil and interior work in progress</t>
  </si>
  <si>
    <t>Interior and MEP work in progress</t>
  </si>
  <si>
    <t>Food service design india</t>
  </si>
  <si>
    <t>Narayan jariwala-harmony interior and associates</t>
  </si>
  <si>
    <t>https://workdrive.zohopublic.in/folder/qusyg6065c4e335ba4193b60fabfafb9649fc</t>
  </si>
  <si>
    <t>https://workdrive.zohopublic.in/folder/qusygddb751c59db848a98f94561a2296e9e7</t>
  </si>
  <si>
    <t>https://workdrive.zohopublic.in/folder/qusyg843f74f0d76248f7833875ba60c672b2</t>
  </si>
  <si>
    <t>https://workdrive.zohopublic.in/folder/qusyg5b50a57d8fa04d649cd6f0a8d899108c</t>
  </si>
  <si>
    <t>https://workdrive.zohopublic.in/folder/qusyge6e299ce229c4147a34407132e99e9eb</t>
  </si>
  <si>
    <t>https://workdrive.zohopublic.in/folder/qusygea2c3b01ff314791b7df664ad9a8c609</t>
  </si>
  <si>
    <t>Mr. Deepak Tiwari</t>
  </si>
  <si>
    <t>ENGINEER /                  PROJECT MANAGER AT SITE</t>
  </si>
  <si>
    <t>The mockup room has been approved and it is in progress</t>
  </si>
  <si>
    <t>Civil &amp; interior work in progress</t>
  </si>
  <si>
    <t>Civil and Interior work in progress</t>
  </si>
  <si>
    <t>Designer to be Appointed</t>
  </si>
  <si>
    <t xml:space="preserve">CLUSTER HEAD - MR. VIKAS PASSI </t>
  </si>
  <si>
    <t>https://workdrive.zohopublic.in/folder/qusyg5f6e932660a2402ab330ab7f418a40cd</t>
  </si>
  <si>
    <t>https://workdrive.zohopublic.in/folder/qusyge94dbb6e64a34b85be254ea01f70542b</t>
  </si>
  <si>
    <t>https://workdrive.zohopublic.in/folder/qusygc0a5bcabeab74f038154b1f66ca51c44</t>
  </si>
  <si>
    <t>https://workdrive.zohopublic.in/folder/qusyg6bc881e93bf64c47b9bfa41fda55c47d</t>
  </si>
  <si>
    <t>https://workdrive.zohopublic.in/folder/qusyg8878189c4ba24491a7b0edba63962f64</t>
  </si>
  <si>
    <t>https://workdrive.zohopublic.in/folder/qusyg8c1254f35f0241c986c47babbef34777</t>
  </si>
  <si>
    <t>https://workdrive.zohopublic.in/folder/qusyg25cecd5e3d374bbfa34ca2ac31256c72</t>
  </si>
  <si>
    <t>https://workdrive.zohopublic.in/folder/qusyg24934f08b81849979cb4485b702efcd3</t>
  </si>
  <si>
    <t>https://workdrive.zohopublic.in/folder/qusyg4bf61df199ba4b9b969bebf50cf38fa1</t>
  </si>
  <si>
    <t>https://workdrive.zohopublic.in/folder/qusyga4853687d90d474abf86fb9a462d5cae</t>
  </si>
  <si>
    <t>https://workdrive.zohopublic.in/folder/qusygb2b0a2d4fb4f4da2a4e6430445f63239</t>
  </si>
  <si>
    <t>https://workdrive.zohopublic.in/folder/qusyg675100a82a8e4df3b4b9519ee7ad6d9c</t>
  </si>
  <si>
    <t>https://workdrive.zohopublic.in/folder/qusyga03a7bf3afbe4728b6742401f18f1e45</t>
  </si>
  <si>
    <t>https://workdrive.zohopublic.in/folder/qusyg45cc9c0a7f1a4996861412a871761af2</t>
  </si>
  <si>
    <t>https://workdrive.zohopublic.in/folder/qusygf48229e2cee344e9880ca1fcd129e8ee</t>
  </si>
  <si>
    <t>https://workdrive.zohopublic.in/folder/qusygc0422d7e80ec4af5888efcf20dcda36e</t>
  </si>
  <si>
    <t>https://workdrive.zohopublic.in/folder/qusyg680d185fd3d340fc8cfb74bfd64f18e0</t>
  </si>
  <si>
    <t>https://workdrive.zohopublic.in/file/qusyg642a72db472d4e8698e28b1905b3feb9</t>
  </si>
  <si>
    <t>https://workdrive.zohopublic.in/file/qusygeac3729e37d642a481438a49935be854</t>
  </si>
  <si>
    <t>https://workdrive.zohopublic.in/file/qusyg939e03238ba14a8197ae55a120e33105</t>
  </si>
  <si>
    <t>https://workdrive.zohopublic.in/file/qusyg4a5b0afc191a4e4fa2e4a86b437c4c1d</t>
  </si>
  <si>
    <t>Civil and Interior Work in progress</t>
  </si>
  <si>
    <t>Structural work is completed ,civil and interior works are pending</t>
  </si>
  <si>
    <t>work is on hold</t>
  </si>
  <si>
    <t>Civil ,Interior &amp; MEP Works in progress</t>
  </si>
  <si>
    <t>Stopped due to some Environmental issues</t>
  </si>
  <si>
    <t>Designing stage</t>
  </si>
  <si>
    <t>Civil &amp; interior Work In progress</t>
  </si>
  <si>
    <t>Mr.Prashanth</t>
  </si>
  <si>
    <t>Mr.Pravin parmar</t>
  </si>
  <si>
    <t>Mr.Aditya Kotgire</t>
  </si>
  <si>
    <t>Mr.pravin parmar    Mr.Hasu</t>
  </si>
  <si>
    <t>9904260771   9099283282</t>
  </si>
  <si>
    <t>ENGINEER /    PROJECT MANAGER AT SITE</t>
  </si>
  <si>
    <t>CONTACT DETAILS2</t>
  </si>
  <si>
    <t>CLUSTER HEAD - MR. SHIWAM VERMA</t>
  </si>
  <si>
    <t>CLUSTER HEAD - MR . SARVANAN</t>
  </si>
  <si>
    <t>ENGINEER / PROJECT MANAGER AT SITE</t>
  </si>
  <si>
    <t>Mr .Haresh Chauhan Mr.Ramesh Solanki</t>
  </si>
  <si>
    <t>9879198077   9638296947</t>
  </si>
  <si>
    <t>Mr.Yogesh Khaliakar Mr.Sunil</t>
  </si>
  <si>
    <t>9922448303 9923023200</t>
  </si>
  <si>
    <t>ENGINEERS / PROJECT MANAGERS AT SITE</t>
  </si>
  <si>
    <t>https://workdrive.zohopublic.in/file/lmporc2be66ce1ba64904870d925c8e7c8bb4</t>
  </si>
  <si>
    <t>https://workdrive.zohopublic.in/folder/qusyg925f04aaf23244dbaea58d4de460ed34</t>
  </si>
  <si>
    <t>https://workdrive.zohopublic.in/folder/qusyg203a4fbf3a73483585f5cf5f9a94ed10</t>
  </si>
  <si>
    <t>https://workdrive.zohopublic.in/file/qusygef1af613a2e24b3caa9b463608386761</t>
  </si>
  <si>
    <t>https://workdrive.zohopublic.in/folder/qusyge9fca32670204053b0cacb3142045e1b</t>
  </si>
  <si>
    <t>https://workdrive.zohopublic.in/folder/qusygb9d0610e40194ab19206964358aa0eac</t>
  </si>
  <si>
    <t>HOTEL</t>
  </si>
  <si>
    <t xml:space="preserve"> HOTEL</t>
  </si>
  <si>
    <t>OWNER</t>
  </si>
  <si>
    <r>
      <t>HOTE</t>
    </r>
    <r>
      <rPr>
        <sz val="16"/>
        <color theme="1"/>
        <rFont val="Arial"/>
        <family val="2"/>
      </rPr>
      <t>L</t>
    </r>
  </si>
  <si>
    <t>Ambala</t>
  </si>
  <si>
    <t>Bhopal Airport</t>
  </si>
  <si>
    <t>Dodamarg</t>
  </si>
  <si>
    <t>Vijaywada</t>
  </si>
  <si>
    <t>North Projects</t>
  </si>
  <si>
    <t>Mr.Kunal Banerjee</t>
  </si>
  <si>
    <t>Mr.Prateek</t>
  </si>
  <si>
    <t>ARCH POINT -Vasuda goyal</t>
  </si>
  <si>
    <t>Bhate ji Bedwas</t>
  </si>
  <si>
    <t>Design Frame</t>
  </si>
  <si>
    <t>9414733276/ 7014521966</t>
  </si>
  <si>
    <t>Mr.pavan Agarwal</t>
  </si>
  <si>
    <t>Ms.Suganda chopra</t>
  </si>
  <si>
    <t>Studio line craft - Mr.Vikram Khatri</t>
  </si>
  <si>
    <t>Japcon Architects</t>
  </si>
  <si>
    <t>https://workdrive.zoho.in/folder/eul5o72bc88ef922e4bdeb03ab1a8827cd0f7</t>
  </si>
  <si>
    <t>Dimensions graph</t>
  </si>
  <si>
    <t>https://dimensiongraph.com/</t>
  </si>
  <si>
    <t>Ajeet lalwani</t>
  </si>
  <si>
    <t>https://studiolinecraft.in/</t>
  </si>
  <si>
    <t>https://workdrive.zohopublic.in/folder/d7kd5ecb4fdc5239f42c8964eae2eecce3ebe</t>
  </si>
  <si>
    <t>https://workdrive.zohopublic.in/folder/d7kd5ebbfb63df5f04987a495aa76b9a89c39</t>
  </si>
  <si>
    <t>https://workdrive.zohopublic.in/file/d7kd5cd7a5fb817b64a9bbcbb9bade4683f75</t>
  </si>
  <si>
    <t>https://www.facebook.com/share/16JJXkegQV/?mibextid=wwXIfr</t>
  </si>
  <si>
    <t>https://workdrive.zohopublic.in/file/d7kd5e52d5a7f511542fb8815ed9565de699a</t>
  </si>
  <si>
    <t>HOLD</t>
  </si>
  <si>
    <t>20 ROOMS ARE OPERATIONAL</t>
  </si>
  <si>
    <t>Mr.Naresh</t>
  </si>
  <si>
    <t>Mr poorva shinde</t>
  </si>
  <si>
    <t>https://www.idadubai.com/</t>
  </si>
  <si>
    <t>Ms.Divya sharma verneker</t>
  </si>
  <si>
    <t>Mr.Mohan</t>
  </si>
  <si>
    <t>Rendering of guest room and public area is finalized ,MUR/MEP in progress,</t>
  </si>
  <si>
    <t>Work is under hold ,no project work is happening the project shall be completed by end of dec.</t>
  </si>
  <si>
    <t>Work is slow</t>
  </si>
  <si>
    <t>All the approvals have been given from project side .Progress Review is pending.</t>
  </si>
  <si>
    <t>https://workdrive.zohopublic.in/file/d7kd5890e5288744446acab55126846884182</t>
  </si>
  <si>
    <t>https://workdrive.zohopublic.in/file/d7kd58d9a4c56144243e0b56afc0e70584e32</t>
  </si>
  <si>
    <t>https://workdrive.zohopublic.in/file/d7kd596196f32b5f94d1ca0504cac07bf45c3</t>
  </si>
  <si>
    <t>https://workdrive.zohopublic.in/file/d7kd5e12435e83e21427c92ff2b3a17349c34</t>
  </si>
  <si>
    <t>https://workdrive.zohopublic.in/file/d7kd5e0c9bea498e94e1d86793becdf5a56f2</t>
  </si>
  <si>
    <t>https://workdrive.zohopublic.in/file/d7kd58244f99f687341d9bef7dd5662380829</t>
  </si>
  <si>
    <t>https://workdrive.zohopublic.in/file/d7kd5a7e3924bb773404d8757cb910112ab01</t>
  </si>
  <si>
    <t>https://workdrive.zohopublic.in/file/d7kd502e422bf19554027b14a6bf45bc43039</t>
  </si>
  <si>
    <t>https://workdrive.zohopublic.in/file/d7kd575e05f4d3dca40c5a216f63d860db437</t>
  </si>
  <si>
    <t>https://workdrive.zohopublic.in/file/d7kd5f4382a73e7f445ff9d3f4c39b92ec0e1</t>
  </si>
  <si>
    <t>https://workdrive.zohopublic.in/file/d7kd53d6cbc548aae4111b0eaf016cef19a9a</t>
  </si>
  <si>
    <t>https://workdrive.zohopublic.in/folder/d7kd5713c23bfdb3e459da9af1ee1be994380</t>
  </si>
  <si>
    <t>https://workdrive.zohopublic.in/folder/qusyg40f9e4c94d5c49939c9c1f652529d9b5</t>
  </si>
  <si>
    <t>Shack Project</t>
  </si>
  <si>
    <t>https://workdrive.zoho.in/folder/qusyg900b96820f8541f7a88858f84327bc25</t>
  </si>
  <si>
    <t>https://workdrive.zohopublic.in/folder/zz7163ec09da5685d4f0e96abf4a2fcd92198</t>
  </si>
  <si>
    <t>https://workdrive.zohopublic.in/file/n8aq8bad2560118ed43d2801661dafc34c449</t>
  </si>
  <si>
    <t>https://workdrive.zohopublic.in/file/z2rn5c90849a3526140848dfed3bd8d666fee</t>
  </si>
  <si>
    <t>https://workdrive.zohopublic.in/file/gaqr14ca98be02fab4810aa2b354f45ff7411</t>
  </si>
  <si>
    <t>https://workdrive.zohopublic.in/file/gaqr1243e6dc63f164ecfa9ad8f2e728ce767</t>
  </si>
  <si>
    <t>https://workdrive.zohopublic.in/file/qusyg3b6b95f3c43a457b996417237d7bd596</t>
  </si>
  <si>
    <t>https://workdrive.zohopublic.in/file/gaqr18972050a3522423c9e30a5c1499f16a8</t>
  </si>
  <si>
    <t>https://workdrive.zohopublic.in/folder/116voe17ad800682c47af80f36462640ac03d</t>
  </si>
  <si>
    <t>https://www.archpoint.in/</t>
  </si>
  <si>
    <t>https://www.facebook.com/designframe30/</t>
  </si>
  <si>
    <t>https://workdrive.zohopublic.in/folder/qusygb44b8ee04d25448c81ed8182b28ddace</t>
  </si>
  <si>
    <t>Ahmedabad</t>
  </si>
  <si>
    <t>https://workdrive.zohopublic.in/file/gzano4ff33ea382e54f0a8d8bcfdb488ec5f1</t>
  </si>
  <si>
    <t>https://workdrive.zohopublic.in/file/idymt3de683894e2d47acb86ad78dee9e0c81</t>
  </si>
  <si>
    <t>Rajkot - Greenland Chokdi</t>
  </si>
  <si>
    <t>Mr.Lalit Savaliya</t>
  </si>
  <si>
    <t>Mr.Vipul Godaliya</t>
  </si>
  <si>
    <t>Regenta place</t>
  </si>
  <si>
    <t>https://workdrive.zohopublic.in/file/idymte91df033385e453b815cc25785446c7b</t>
  </si>
  <si>
    <t>https://workdrive.zohopublic.in/file/idymt1a28e8c06a4d41d78c7bd0808710185f</t>
  </si>
  <si>
    <t>Column1</t>
  </si>
  <si>
    <t>Royal Orchid Beach Resort &amp; spa</t>
  </si>
  <si>
    <t>https://workdrive.zohopublic.in/file/7l4hk44e98615cccb464eb7e9c4b7633ef2cf</t>
  </si>
  <si>
    <t>https://nandinfrastructure.com/team/narendrasinh-jilubha-gohil/</t>
  </si>
  <si>
    <t>https://workdrive.zohopublic.in/file/095bx6ed1b4f996dd4342a1bb2598623f41c8</t>
  </si>
  <si>
    <t>NA</t>
  </si>
  <si>
    <t xml:space="preserve">PROJECT FEEDBACK as on 28th August </t>
  </si>
  <si>
    <t xml:space="preserve">One mockup  work in Progress. </t>
  </si>
  <si>
    <t xml:space="preserve">All the approvals for mockup room have been shared mockup work in progress. Electrical /HVAC approvals have been issues for working . </t>
  </si>
  <si>
    <t xml:space="preserve">We have asked for the rendering for MUR and Public areas </t>
  </si>
  <si>
    <t>No updates from site .Mr ajith is in touch with owners.</t>
  </si>
  <si>
    <t xml:space="preserve">We had a review on 16th august with Mr. Arjun and Mr. Baljee. All approvals have been given and final drawings and renderings are awaited . </t>
  </si>
  <si>
    <t xml:space="preserve">Work Progress is very slow and owner wanted to open the property by October -25 which is nonrealistic based on the progress. We have asked for Gantt chart a month back to know the completion and we are yet to receive the details from the owners. </t>
  </si>
  <si>
    <t xml:space="preserve">The design we have approved and shared . Work progress is very slow. </t>
  </si>
  <si>
    <t xml:space="preserve">Work progress is very slow. Mr. Rakesh had a meeting with Mr.Bakir Gandhi about the ADD/ BOH to complete . </t>
  </si>
  <si>
    <t>Work is in Progress .Snagging and pending work Fallow up is going on by Pre opening Team</t>
  </si>
  <si>
    <t xml:space="preserve">HOLD </t>
  </si>
  <si>
    <t xml:space="preserve">We had initial meeting . Basic preperation is happening at site . </t>
  </si>
  <si>
    <t xml:space="preserve">Site Visit is done and all inputs as per Regenta Z are given. Work in Full swing  and they wanted to open the hotel by end of september. </t>
  </si>
  <si>
    <t xml:space="preserve">survey is completed. Inputs have been given as per brand specific. We have asked them to complete one mock up asap. </t>
  </si>
  <si>
    <t xml:space="preserve">All the approvals have been issued to project for execution. The projects are happening in full swing . As per the latest discussion with Mr. Kapur , Guest rooms / Trasition Lobby / Reception/ Bar works are in advance stage . ADD/ Banquate halls ceiling height reduction and civil work are started . </t>
  </si>
  <si>
    <t xml:space="preserve">Site visit is completed Inputs have been shared for detail Drawings and Renderings. The actual measurements yet to receive from site. Dicussed with Mr. Rishi and they could not able to proceed as severe rain fall is happening. </t>
  </si>
  <si>
    <t>https://workdrive.zoho.in/folder/9n41ya9a0447883a94f799851a3abfd41ed6d</t>
  </si>
  <si>
    <t>CLUSTER HEAD - MR. KUNAL BANERJEE</t>
  </si>
  <si>
    <t xml:space="preserve"> Bhadohi, Jamshedpur, Tezpur, Patna, Bhopal Airport.</t>
  </si>
  <si>
    <t>Renovation Projects</t>
  </si>
  <si>
    <t>https://feniciaresort.com/</t>
  </si>
  <si>
    <t>Fenicia</t>
  </si>
  <si>
    <t>Crestoria</t>
  </si>
  <si>
    <t>Mr.</t>
  </si>
  <si>
    <t>https://workdrive.zoho.in/folder/9n8pma0ecd665d05e45c9b0b9b2e784295669</t>
  </si>
  <si>
    <t>Baddi</t>
  </si>
  <si>
    <t>Himachal Pradesh</t>
  </si>
  <si>
    <t>https://workdrive.zoho.in/folder/9n8pmd5d04502ccdd4bf1aa2ffe9cc5634b8c</t>
  </si>
  <si>
    <t>https://workdrive.zoho.in/folder/9n8pm551ce5d20c144c209165f04bed601bba</t>
  </si>
  <si>
    <t>https://workdrive.zoho.in/folder/9n8pm90eceb3c92244272957938deede4c348</t>
  </si>
  <si>
    <t>https://drive.google.com/drive/folders/1N3046mw_kKSkA8__ZSuvY77WoxuoW76h?usp=drive_link</t>
  </si>
  <si>
    <t>https://workdrive.zoho.in/folder/9n8pmc828b7dd1e80474faaea67151e9792e6</t>
  </si>
  <si>
    <t>https://workdrive.zoho.in/folder/9n8pm1b22dd19b6104c75b83c7b6e42294180</t>
  </si>
  <si>
    <t>https://workdrive.zoho.in/folder/9n8pm01ddfc7ebac44d38bc87efaef8219416</t>
  </si>
  <si>
    <t>https://workdrive.zoho.in/folder/9n8pm85d64cd7d14c4f7780753d9a6f27b248</t>
  </si>
  <si>
    <t>https://workdrive.zoho.in/file/9n8pme7d889243a88419784a608e0bdc8a8e8</t>
  </si>
  <si>
    <t>https://workdrive.zoho.in/file/9n8pme139f7a209174f99be937f7b9efeadab</t>
  </si>
  <si>
    <t>https://workdrive.zohopublic.in/file/9n8pm26fa6e61fcd84a1190044c368529ce3f</t>
  </si>
  <si>
    <t>https://workdrive.zoho.in/folder/9n8pmbaf179fad16b4269ab61f387e5d043be</t>
  </si>
  <si>
    <t>https://workdrive.zohopublic.in/file/9n8pmf28a539d433c4e78806ff66f7cf4706b</t>
  </si>
  <si>
    <t>https://workdrive.zohopublic.in/file/9n8pme1d7190aa2eb4e958e48cb6f1de0db01</t>
  </si>
  <si>
    <t>https://workdrive.zohopublic.in/folder/9n8pm75a3fb3aead6409890de1a9e584a4eb3</t>
  </si>
  <si>
    <t>Renovation</t>
  </si>
  <si>
    <t>Tapasya-Gurugram, Baddi - Himachal Pradesh, Lucknow, Mussorie, Mall Road Mussorrie,Ambala.</t>
  </si>
  <si>
    <t>Goa - Dodamarg,Fenicia.</t>
  </si>
  <si>
    <t>Tirupathi,Vijayawada.</t>
  </si>
  <si>
    <t>Rajkot,,Nanded,,Gir,Mulshi,Bhuj,Anjar,Bhavnagar,Uruli Kanchan,Mundra ,Vododara.</t>
  </si>
  <si>
    <t>Pushkar,Bhopal,Chittogarh-Bari sadri,Kattu shamji .</t>
  </si>
  <si>
    <t>https://workdrive.zoho.in/folder/9n8pmf24d6669c73a48648b214c1c57fd6380</t>
  </si>
  <si>
    <t>https://workdrive.zoho.in/folder/9n8pmf5b4ba03170e4d1ab1a1fe5766fb004b</t>
  </si>
  <si>
    <t>Mr.Shravan</t>
  </si>
  <si>
    <t xml:space="preserve"> 92186 72900</t>
  </si>
  <si>
    <t>meeting to be scheduled on 2nd week of october</t>
  </si>
  <si>
    <t>review to be done</t>
  </si>
  <si>
    <t xml:space="preserve">Work in progress ,all the approval have been given. Handover in progress.. </t>
  </si>
  <si>
    <t xml:space="preserve">The Kick off meeting we had on 28tgh August  and the rooms are in progress. We need to give inputs of banquet halls and terrace.  </t>
  </si>
  <si>
    <t>Work is in Progress in slow pace.</t>
  </si>
  <si>
    <t>Review is happening in the month of October.</t>
  </si>
  <si>
    <t>Work is very slow .Detailed meeting to be doJ10:Q10ne. Owner in austrila and we are arranging review meeting by 10th of October</t>
  </si>
  <si>
    <t>we had detailed review in the meeting held on 29 sept.</t>
  </si>
  <si>
    <t>work is happening in full swing.Property will be ready by end of december</t>
  </si>
  <si>
    <t>Mr.Romil patni</t>
  </si>
  <si>
    <t xml:space="preserve">As per the latest meeting we had works are happening as per the ROHL approval done. </t>
  </si>
  <si>
    <t>Darbar Hall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</si>
</sst>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u/>
      <sz val="11"/>
      <color theme="10"/>
      <name val="Calibri"/>
      <family val="2"/>
      <scheme val="minor"/>
    </font>
    <font>
      <b/>
      <sz val="28"/>
      <color theme="0"/>
      <name val="Arial"/>
      <family val="2"/>
    </font>
    <font>
      <b/>
      <sz val="22"/>
      <color theme="1"/>
      <name val="Arial"/>
      <family val="2"/>
    </font>
    <font>
      <sz val="12"/>
      <color theme="1"/>
      <name val="Calibri"/>
      <family val="2"/>
      <scheme val="minor"/>
    </font>
    <font>
      <sz val="12"/>
      <color theme="1"/>
      <name val="Arial"/>
      <family val="2"/>
    </font>
    <font>
      <sz val="11"/>
      <color rgb="FF3F3F76"/>
      <name val="Calibri"/>
      <family val="2"/>
      <scheme val="minor"/>
    </font>
    <font>
      <sz val="12"/>
      <color rgb="FF002060"/>
      <name val="Arial"/>
      <family val="2"/>
    </font>
    <font>
      <sz val="12"/>
      <color rgb="FF002060"/>
      <name val="Calibri"/>
      <family val="2"/>
      <scheme val="minor"/>
    </font>
    <font>
      <sz val="16"/>
      <color theme="1"/>
      <name val="Arial"/>
      <family val="2"/>
    </font>
    <font>
      <b/>
      <sz val="16"/>
      <color rgb="FF7030A0"/>
      <name val="Arial"/>
      <family val="2"/>
    </font>
    <font>
      <b/>
      <sz val="16"/>
      <color theme="1"/>
      <name val="Arial"/>
      <family val="2"/>
    </font>
    <font>
      <b/>
      <sz val="16"/>
      <color rgb="FF00B050"/>
      <name val="Calibri"/>
      <family val="2"/>
      <scheme val="minor"/>
    </font>
    <font>
      <sz val="16"/>
      <color rgb="FF002060"/>
      <name val="Arial"/>
      <family val="2"/>
    </font>
    <font>
      <sz val="11"/>
      <color rgb="FF006100"/>
      <name val="Calibri"/>
      <family val="2"/>
      <scheme val="minor"/>
    </font>
    <font>
      <b/>
      <sz val="16"/>
      <color theme="1"/>
      <name val="Arial"/>
      <family val="2"/>
    </font>
    <font>
      <b/>
      <sz val="14"/>
      <color theme="1"/>
      <name val="Arial"/>
      <family val="2"/>
    </font>
    <font>
      <b/>
      <sz val="36"/>
      <color rgb="FF006100"/>
      <name val="Arial"/>
      <family val="2"/>
    </font>
    <font>
      <b/>
      <sz val="16"/>
      <name val="Arial"/>
      <family val="2"/>
    </font>
    <font>
      <b/>
      <sz val="28"/>
      <color theme="1"/>
      <name val="Arial"/>
      <family val="2"/>
    </font>
    <font>
      <sz val="14"/>
      <name val="Arial"/>
      <family val="2"/>
    </font>
    <font>
      <sz val="11"/>
      <color theme="10"/>
      <name val="Calibri"/>
      <family val="2"/>
      <scheme val="minor"/>
    </font>
    <font>
      <b/>
      <sz val="36"/>
      <color theme="1"/>
      <name val="Calibri"/>
      <family val="2"/>
      <scheme val="minor"/>
    </font>
    <font>
      <b/>
      <sz val="16"/>
      <color theme="5" tint="0.59999389629810485"/>
      <name val="Arial"/>
      <family val="2"/>
    </font>
    <font>
      <b/>
      <sz val="16"/>
      <color theme="1"/>
      <name val="Arial"/>
      <family val="2"/>
    </font>
    <font>
      <b/>
      <sz val="14"/>
      <color theme="1"/>
      <name val="Arial"/>
      <family val="2"/>
    </font>
    <font>
      <sz val="12"/>
      <color theme="1"/>
      <name val="Arial"/>
      <family val="2"/>
    </font>
    <font>
      <b/>
      <sz val="16"/>
      <color rgb="FF000000"/>
      <name val="Arial"/>
      <family val="2"/>
    </font>
    <font>
      <b/>
      <sz val="12"/>
      <color theme="1"/>
      <name val="Arial"/>
      <family val="2"/>
    </font>
    <font>
      <sz val="12"/>
      <color theme="10"/>
      <name val="Calibri"/>
      <family val="2"/>
      <scheme val="minor"/>
    </font>
    <font>
      <u/>
      <sz val="12"/>
      <color theme="10"/>
      <name val="Calibri"/>
      <family val="2"/>
      <scheme val="minor"/>
    </font>
    <font>
      <u/>
      <sz val="16"/>
      <color theme="10"/>
      <name val="Calibri"/>
      <family val="2"/>
      <scheme val="minor"/>
    </font>
    <font>
      <u/>
      <sz val="16"/>
      <color theme="10"/>
      <name val="Arial"/>
      <family val="2"/>
    </font>
    <font>
      <sz val="12"/>
      <name val="Arial"/>
      <family val="2"/>
    </font>
    <font>
      <b/>
      <u/>
      <sz val="16"/>
      <color theme="10"/>
      <name val="Calibri"/>
      <family val="2"/>
      <scheme val="minor"/>
    </font>
    <font>
      <b/>
      <sz val="16"/>
      <color theme="1"/>
      <name val="Trebuchet MS"/>
      <family val="2"/>
    </font>
    <font>
      <sz val="15"/>
      <name val="Arial"/>
      <family val="2"/>
    </font>
    <font>
      <u/>
      <sz val="16"/>
      <color theme="1"/>
      <name val="Arial"/>
      <family val="2"/>
    </font>
    <font>
      <u/>
      <sz val="11"/>
      <color theme="1"/>
      <name val="Calibri"/>
      <family val="2"/>
      <scheme val="minor"/>
    </font>
    <font>
      <sz val="16"/>
      <color theme="1"/>
      <name val="Calibri"/>
      <family val="2"/>
      <scheme val="minor"/>
    </font>
    <font>
      <sz val="14"/>
      <name val="Arial"/>
      <family val="2"/>
    </font>
    <font>
      <b/>
      <sz val="17"/>
      <color rgb="FF1F1F1F"/>
      <name val="Arial"/>
      <family val="2"/>
    </font>
    <font>
      <u/>
      <sz val="16"/>
      <color theme="1"/>
      <name val="Arial"/>
      <family val="2"/>
    </font>
    <font>
      <b/>
      <sz val="10"/>
      <color theme="1"/>
      <name val="Arial"/>
      <family val="2"/>
    </font>
    <font>
      <b/>
      <u/>
      <sz val="11"/>
      <color theme="4"/>
      <name val="Arial"/>
      <family val="2"/>
    </font>
    <font>
      <b/>
      <sz val="16"/>
      <color theme="1"/>
      <name val="Arial"/>
      <family val="2"/>
    </font>
    <font>
      <b/>
      <sz val="14"/>
      <color theme="1"/>
      <name val="Arial"/>
      <family val="2"/>
    </font>
    <font>
      <b/>
      <sz val="16"/>
      <color theme="1"/>
      <name val="Arial"/>
    </font>
    <font>
      <b/>
      <sz val="14"/>
      <color theme="1"/>
      <name val="Arial"/>
    </font>
  </fonts>
  <fills count="11">
    <fill>
      <patternFill patternType="none"/>
    </fill>
    <fill>
      <patternFill patternType="gray125"/>
    </fill>
    <fill>
      <patternFill patternType="solid">
        <fgColor theme="0"/>
        <bgColor indexed="64"/>
      </patternFill>
    </fill>
    <fill>
      <patternFill patternType="solid">
        <fgColor theme="5" tint="0.39994506668294322"/>
        <bgColor indexed="64"/>
      </patternFill>
    </fill>
    <fill>
      <patternFill patternType="solid">
        <fgColor theme="4" tint="0.39994506668294322"/>
        <bgColor indexed="64"/>
      </patternFill>
    </fill>
    <fill>
      <patternFill patternType="solid">
        <fgColor rgb="FFFFCC99"/>
      </patternFill>
    </fill>
    <fill>
      <patternFill patternType="solid">
        <fgColor rgb="FFC6EFCE"/>
      </patternFill>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6">
    <xf numFmtId="0" fontId="0" fillId="0" borderId="0"/>
    <xf numFmtId="0" fontId="1" fillId="0" borderId="0" applyNumberFormat="0" applyFill="0" applyBorder="0" applyAlignment="0" applyProtection="0"/>
    <xf numFmtId="0" fontId="3" fillId="4" borderId="0" applyNumberFormat="0" applyBorder="0" applyProtection="0">
      <alignment horizontal="center" vertical="center" wrapText="1"/>
    </xf>
    <xf numFmtId="0" fontId="2" fillId="3" borderId="0" applyNumberFormat="0" applyBorder="0" applyProtection="0">
      <alignment horizontal="center" vertical="center" wrapText="1"/>
    </xf>
    <xf numFmtId="0" fontId="6" fillId="5" borderId="2" applyNumberFormat="0" applyAlignment="0" applyProtection="0"/>
    <xf numFmtId="0" fontId="14" fillId="6" borderId="0" applyNumberFormat="0" applyBorder="0" applyAlignment="0" applyProtection="0"/>
  </cellStyleXfs>
  <cellXfs count="138">
    <xf numFmtId="0" fontId="0" fillId="0" borderId="0" xfId="0"/>
    <xf numFmtId="0" fontId="4"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xf numFmtId="0" fontId="7"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horizontal="center"/>
    </xf>
    <xf numFmtId="0" fontId="1" fillId="0" borderId="1" xfId="1" applyBorder="1" applyAlignment="1">
      <alignment horizontal="center" vertical="center" wrapText="1"/>
    </xf>
    <xf numFmtId="0" fontId="9" fillId="0" borderId="0" xfId="0" applyFont="1"/>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17" fontId="11" fillId="0" borderId="1"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1" fillId="0" borderId="0" xfId="0" applyFont="1" applyAlignment="1">
      <alignment horizontal="center" vertical="center"/>
    </xf>
    <xf numFmtId="0" fontId="15" fillId="0" borderId="1" xfId="0" applyFont="1" applyBorder="1" applyAlignment="1">
      <alignment horizontal="center" vertical="center" wrapText="1"/>
    </xf>
    <xf numFmtId="0" fontId="11" fillId="0" borderId="0" xfId="0" applyFont="1" applyAlignment="1">
      <alignment horizontal="center" vertical="center" wrapText="1"/>
    </xf>
    <xf numFmtId="0" fontId="11" fillId="7"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 fillId="2" borderId="1" xfId="1" applyFill="1" applyBorder="1" applyAlignment="1">
      <alignment horizontal="center" vertical="center" wrapText="1"/>
    </xf>
    <xf numFmtId="0" fontId="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5" fillId="7"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21" fillId="0" borderId="1" xfId="1" applyFont="1" applyBorder="1" applyAlignment="1">
      <alignment horizontal="center" vertical="center" wrapText="1"/>
    </xf>
    <xf numFmtId="0" fontId="20" fillId="0" borderId="1" xfId="1" applyFont="1" applyBorder="1" applyAlignment="1">
      <alignment horizontal="left" vertical="center" wrapText="1"/>
    </xf>
    <xf numFmtId="0" fontId="20" fillId="2" borderId="1" xfId="0" applyFont="1" applyFill="1" applyBorder="1" applyAlignment="1">
      <alignment horizontal="left" vertical="center"/>
    </xf>
    <xf numFmtId="0" fontId="9" fillId="7"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 fillId="0" borderId="1" xfId="1" applyFill="1" applyBorder="1" applyAlignment="1">
      <alignment horizontal="center" vertical="center" wrapText="1"/>
    </xf>
    <xf numFmtId="0" fontId="20" fillId="2" borderId="1" xfId="0" applyFont="1" applyFill="1" applyBorder="1" applyAlignment="1">
      <alignment horizontal="left" vertical="center" wrapText="1"/>
    </xf>
    <xf numFmtId="0" fontId="20" fillId="0" borderId="1" xfId="0" applyFont="1" applyBorder="1" applyAlignment="1">
      <alignment horizontal="left" vertical="center"/>
    </xf>
    <xf numFmtId="0" fontId="23" fillId="7" borderId="1" xfId="0" applyFont="1" applyFill="1" applyBorder="1" applyAlignment="1">
      <alignment horizontal="center" vertical="center" wrapText="1"/>
    </xf>
    <xf numFmtId="0" fontId="0" fillId="0" borderId="1" xfId="0" applyBorder="1" applyAlignment="1">
      <alignment wrapText="1"/>
    </xf>
    <xf numFmtId="17" fontId="0" fillId="0" borderId="0" xfId="0" applyNumberFormat="1"/>
    <xf numFmtId="0" fontId="0" fillId="0" borderId="0" xfId="0"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2" borderId="1" xfId="0" applyFont="1" applyFill="1" applyBorder="1" applyAlignment="1">
      <alignment horizontal="left" vertical="center" wrapText="1"/>
    </xf>
    <xf numFmtId="0" fontId="24" fillId="7" borderId="1" xfId="0" applyFont="1" applyFill="1" applyBorder="1" applyAlignment="1">
      <alignment horizontal="center" vertical="center" wrapText="1"/>
    </xf>
    <xf numFmtId="0" fontId="24" fillId="0" borderId="1" xfId="1" applyFont="1" applyBorder="1" applyAlignment="1">
      <alignment horizontal="center"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wrapText="1"/>
    </xf>
    <xf numFmtId="0" fontId="29" fillId="0" borderId="1" xfId="1" applyFont="1" applyBorder="1" applyAlignment="1">
      <alignment horizontal="center" vertical="center" wrapText="1"/>
    </xf>
    <xf numFmtId="0" fontId="30" fillId="0" borderId="1" xfId="1" applyFont="1" applyBorder="1" applyAlignment="1">
      <alignment horizontal="left" vertical="center" wrapText="1"/>
    </xf>
    <xf numFmtId="0" fontId="28" fillId="0" borderId="0" xfId="0" applyFont="1" applyAlignment="1">
      <alignment horizontal="center" vertical="center"/>
    </xf>
    <xf numFmtId="0" fontId="0" fillId="0" borderId="1" xfId="0" applyBorder="1"/>
    <xf numFmtId="0" fontId="1" fillId="0" borderId="1" xfId="1" applyBorder="1" applyAlignment="1">
      <alignment horizontal="center" vertical="center"/>
    </xf>
    <xf numFmtId="0" fontId="4" fillId="0" borderId="1" xfId="0" applyFont="1" applyBorder="1"/>
    <xf numFmtId="0" fontId="32" fillId="0" borderId="1" xfId="1" applyFont="1" applyBorder="1" applyAlignment="1">
      <alignment horizontal="center" vertical="center" wrapText="1"/>
    </xf>
    <xf numFmtId="0" fontId="34" fillId="0" borderId="1" xfId="1" applyFont="1" applyBorder="1" applyAlignment="1">
      <alignment horizontal="left" vertical="center" wrapText="1"/>
    </xf>
    <xf numFmtId="0" fontId="35" fillId="0" borderId="1" xfId="0" applyFont="1" applyBorder="1" applyAlignment="1">
      <alignment horizontal="center" vertical="center" wrapText="1"/>
    </xf>
    <xf numFmtId="0" fontId="17" fillId="6" borderId="1" xfId="5" applyFont="1" applyBorder="1" applyAlignment="1">
      <alignment horizontal="center" vertical="center" wrapText="1"/>
    </xf>
    <xf numFmtId="0" fontId="31" fillId="0" borderId="1" xfId="1" applyFont="1" applyBorder="1" applyAlignment="1">
      <alignment horizontal="center" vertical="center" wrapText="1"/>
    </xf>
    <xf numFmtId="0" fontId="0" fillId="0" borderId="1" xfId="0" applyBorder="1" applyAlignment="1">
      <alignment horizontal="center" vertical="center" wrapText="1"/>
    </xf>
    <xf numFmtId="0" fontId="11" fillId="10" borderId="1" xfId="0" applyFont="1" applyFill="1" applyBorder="1" applyAlignment="1">
      <alignment horizontal="center" vertical="center" wrapText="1"/>
    </xf>
    <xf numFmtId="0" fontId="0" fillId="2" borderId="1" xfId="0" applyFill="1" applyBorder="1"/>
    <xf numFmtId="0" fontId="11" fillId="10" borderId="1" xfId="0" applyFont="1" applyFill="1" applyBorder="1" applyAlignment="1">
      <alignment horizontal="center" vertical="center"/>
    </xf>
    <xf numFmtId="0" fontId="11" fillId="9" borderId="1" xfId="0" applyFont="1" applyFill="1" applyBorder="1" applyAlignment="1">
      <alignment horizontal="center" vertical="center" wrapText="1"/>
    </xf>
    <xf numFmtId="0" fontId="1" fillId="9" borderId="1" xfId="1" applyFill="1" applyBorder="1" applyAlignment="1">
      <alignment horizontal="center" vertical="center" wrapText="1"/>
    </xf>
    <xf numFmtId="0" fontId="24" fillId="2" borderId="1" xfId="1" applyFont="1" applyFill="1" applyBorder="1" applyAlignment="1">
      <alignment horizontal="center" vertical="center" wrapText="1"/>
    </xf>
    <xf numFmtId="0" fontId="24" fillId="2" borderId="1"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24" fillId="7" borderId="5" xfId="0" applyFont="1" applyFill="1" applyBorder="1" applyAlignment="1">
      <alignment horizontal="center" vertical="center" wrapText="1"/>
    </xf>
    <xf numFmtId="17" fontId="0" fillId="0" borderId="1" xfId="0" applyNumberFormat="1" applyBorder="1"/>
    <xf numFmtId="0" fontId="1" fillId="10" borderId="1" xfId="1" applyFill="1" applyBorder="1" applyAlignment="1">
      <alignment horizontal="center" vertical="center" wrapText="1"/>
    </xf>
    <xf numFmtId="0" fontId="36" fillId="0" borderId="1" xfId="1" applyFont="1" applyBorder="1" applyAlignment="1">
      <alignment horizontal="left" vertical="center" wrapText="1"/>
    </xf>
    <xf numFmtId="0" fontId="11" fillId="0" borderId="1" xfId="1" applyFont="1" applyBorder="1" applyAlignment="1">
      <alignment horizontal="center" vertical="center" wrapText="1"/>
    </xf>
    <xf numFmtId="0" fontId="11" fillId="7" borderId="3" xfId="0" applyFont="1" applyFill="1" applyBorder="1" applyAlignment="1">
      <alignment horizontal="center" vertical="center" wrapText="1"/>
    </xf>
    <xf numFmtId="0" fontId="1" fillId="0" borderId="1" xfId="1" applyBorder="1" applyAlignment="1">
      <alignment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19" fillId="8" borderId="1" xfId="0" applyFont="1" applyFill="1" applyBorder="1" applyAlignment="1">
      <alignment horizontal="center" vertical="center"/>
    </xf>
    <xf numFmtId="0" fontId="4" fillId="0" borderId="6" xfId="0" applyFont="1" applyBorder="1" applyAlignment="1">
      <alignment horizontal="center"/>
    </xf>
    <xf numFmtId="0" fontId="31" fillId="10" borderId="1" xfId="1" applyFont="1" applyFill="1" applyBorder="1" applyAlignment="1">
      <alignment horizontal="center" vertical="center" wrapText="1"/>
    </xf>
    <xf numFmtId="0" fontId="31" fillId="0" borderId="1" xfId="1" applyFont="1" applyFill="1" applyBorder="1" applyAlignment="1">
      <alignment horizontal="center" vertical="center" wrapText="1"/>
    </xf>
    <xf numFmtId="0" fontId="39" fillId="0" borderId="1" xfId="0" applyFont="1" applyBorder="1" applyAlignment="1">
      <alignment horizontal="center" vertical="center" wrapText="1"/>
    </xf>
    <xf numFmtId="0" fontId="39" fillId="0" borderId="6" xfId="0" applyFont="1" applyBorder="1" applyAlignment="1">
      <alignment horizontal="center" vertical="center" wrapText="1"/>
    </xf>
    <xf numFmtId="0" fontId="39" fillId="0" borderId="0" xfId="0" applyFont="1" applyAlignment="1">
      <alignment horizontal="center" vertical="center" wrapText="1"/>
    </xf>
    <xf numFmtId="0" fontId="31" fillId="2" borderId="1" xfId="1" applyFont="1" applyFill="1" applyBorder="1" applyAlignment="1">
      <alignment horizontal="center" vertical="center" wrapText="1"/>
    </xf>
    <xf numFmtId="0" fontId="40" fillId="7" borderId="1" xfId="0" applyFont="1" applyFill="1" applyBorder="1" applyAlignment="1">
      <alignment horizontal="center" vertical="center" wrapText="1"/>
    </xf>
    <xf numFmtId="0" fontId="24" fillId="0" borderId="3" xfId="0" applyFont="1" applyBorder="1" applyAlignment="1">
      <alignment horizontal="center" vertical="center" wrapText="1"/>
    </xf>
    <xf numFmtId="0" fontId="20" fillId="7" borderId="1" xfId="0" applyFont="1" applyFill="1" applyBorder="1" applyAlignment="1">
      <alignment horizontal="center" vertical="center" wrapText="1"/>
    </xf>
    <xf numFmtId="0" fontId="11" fillId="0" borderId="3" xfId="0" applyFont="1" applyBorder="1" applyAlignment="1">
      <alignment horizontal="center" vertical="center" wrapText="1"/>
    </xf>
    <xf numFmtId="17" fontId="11" fillId="2" borderId="1" xfId="0" applyNumberFormat="1" applyFont="1" applyFill="1" applyBorder="1" applyAlignment="1">
      <alignment horizontal="center" vertical="center" wrapText="1"/>
    </xf>
    <xf numFmtId="17" fontId="11" fillId="9" borderId="1" xfId="0" applyNumberFormat="1" applyFont="1" applyFill="1" applyBorder="1" applyAlignment="1">
      <alignment horizontal="center" vertical="center" wrapText="1"/>
    </xf>
    <xf numFmtId="0" fontId="20" fillId="9" borderId="1" xfId="0" applyFont="1" applyFill="1" applyBorder="1" applyAlignment="1">
      <alignment horizontal="left" vertical="center" wrapText="1"/>
    </xf>
    <xf numFmtId="0" fontId="41" fillId="2" borderId="0" xfId="0" applyFont="1" applyFill="1" applyAlignment="1">
      <alignment horizontal="center" vertical="center" wrapText="1"/>
    </xf>
    <xf numFmtId="0" fontId="24" fillId="0" borderId="0" xfId="0" applyFont="1" applyAlignment="1">
      <alignment horizontal="center" vertical="center" wrapText="1"/>
    </xf>
    <xf numFmtId="0" fontId="42" fillId="0" borderId="8" xfId="0" applyFont="1" applyBorder="1" applyAlignment="1">
      <alignment horizontal="center" vertical="center" wrapText="1"/>
    </xf>
    <xf numFmtId="0" fontId="38" fillId="0" borderId="0" xfId="0" applyFont="1" applyAlignment="1">
      <alignment horizontal="center" vertical="center" wrapText="1"/>
    </xf>
    <xf numFmtId="0" fontId="44" fillId="0" borderId="0" xfId="0" applyFont="1" applyAlignment="1">
      <alignment horizontal="center" vertical="center" wrapText="1"/>
    </xf>
    <xf numFmtId="0" fontId="43" fillId="0" borderId="1" xfId="0" applyFont="1" applyBorder="1" applyAlignment="1">
      <alignment horizontal="right"/>
    </xf>
    <xf numFmtId="0" fontId="9" fillId="0" borderId="0" xfId="0" applyFont="1" applyAlignment="1">
      <alignment vertical="center"/>
    </xf>
    <xf numFmtId="0" fontId="16" fillId="2" borderId="1" xfId="0" applyFont="1" applyFill="1" applyBorder="1" applyAlignment="1">
      <alignment horizontal="left" vertical="center" wrapText="1"/>
    </xf>
    <xf numFmtId="0" fontId="36" fillId="10" borderId="1" xfId="0" applyFont="1" applyFill="1" applyBorder="1" applyAlignment="1">
      <alignment horizontal="left" vertical="center" wrapText="1"/>
    </xf>
    <xf numFmtId="0" fontId="20" fillId="2" borderId="1" xfId="1" applyFont="1" applyFill="1" applyBorder="1" applyAlignment="1">
      <alignment vertical="center" wrapText="1"/>
    </xf>
    <xf numFmtId="0" fontId="20" fillId="9" borderId="1" xfId="0" applyFont="1" applyFill="1" applyBorder="1" applyAlignment="1">
      <alignment vertical="center" wrapText="1"/>
    </xf>
    <xf numFmtId="0" fontId="20" fillId="9" borderId="1" xfId="1" applyFont="1" applyFill="1" applyBorder="1" applyAlignment="1">
      <alignment vertical="center" wrapText="1"/>
    </xf>
    <xf numFmtId="0" fontId="33" fillId="2" borderId="1" xfId="1" applyFont="1" applyFill="1" applyBorder="1" applyAlignment="1">
      <alignment vertical="center" wrapText="1"/>
    </xf>
    <xf numFmtId="0" fontId="11" fillId="9"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45" fillId="0" borderId="1" xfId="0" applyFont="1" applyBorder="1" applyAlignment="1">
      <alignment horizontal="center" vertical="center"/>
    </xf>
    <xf numFmtId="0" fontId="45" fillId="0" borderId="1" xfId="0" applyFont="1" applyBorder="1" applyAlignment="1">
      <alignment horizontal="left" vertical="center"/>
    </xf>
    <xf numFmtId="0" fontId="45" fillId="0" borderId="1" xfId="0" applyFont="1" applyBorder="1" applyAlignment="1">
      <alignment horizontal="center" vertical="center" wrapText="1"/>
    </xf>
    <xf numFmtId="0" fontId="45" fillId="2" borderId="1" xfId="0" applyFont="1" applyFill="1" applyBorder="1" applyAlignment="1">
      <alignment horizontal="center" vertical="center" wrapText="1"/>
    </xf>
    <xf numFmtId="0" fontId="46" fillId="0" borderId="1" xfId="0" applyFont="1" applyBorder="1" applyAlignment="1">
      <alignment horizontal="center" vertical="center" wrapText="1"/>
    </xf>
    <xf numFmtId="0" fontId="45" fillId="0" borderId="3" xfId="0" applyFont="1" applyBorder="1" applyAlignment="1">
      <alignment horizontal="center" vertical="center" wrapText="1"/>
    </xf>
    <xf numFmtId="0" fontId="45" fillId="0" borderId="0" xfId="0" applyFont="1" applyAlignment="1">
      <alignment horizontal="center" vertical="center" wrapText="1"/>
    </xf>
    <xf numFmtId="0" fontId="1" fillId="9" borderId="1" xfId="1" applyFill="1" applyBorder="1" applyAlignment="1">
      <alignment horizontal="center" vertical="center" wrapText="1" shrinkToFit="1"/>
    </xf>
    <xf numFmtId="0" fontId="45" fillId="0" borderId="5" xfId="0" applyFont="1" applyBorder="1" applyAlignment="1">
      <alignment horizontal="center" vertical="center"/>
    </xf>
    <xf numFmtId="0" fontId="45" fillId="2" borderId="8" xfId="1" applyFont="1" applyFill="1" applyBorder="1" applyAlignment="1">
      <alignment horizontal="center" vertical="center" wrapText="1"/>
    </xf>
    <xf numFmtId="0" fontId="47" fillId="0" borderId="1" xfId="0" applyFont="1" applyBorder="1" applyAlignment="1">
      <alignment horizontal="center" vertical="center" wrapText="1"/>
    </xf>
    <xf numFmtId="0" fontId="47" fillId="2"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47" fillId="0" borderId="3" xfId="0" applyFont="1" applyBorder="1" applyAlignment="1">
      <alignment horizontal="center" vertical="center" wrapText="1"/>
    </xf>
    <xf numFmtId="0" fontId="47" fillId="0" borderId="0" xfId="0" applyFont="1" applyAlignment="1">
      <alignment horizontal="center" vertical="center" wrapText="1"/>
    </xf>
    <xf numFmtId="0" fontId="10" fillId="5" borderId="1" xfId="4" applyFont="1" applyBorder="1" applyAlignment="1">
      <alignment horizontal="center" vertical="center"/>
    </xf>
    <xf numFmtId="0" fontId="9" fillId="0" borderId="0" xfId="0" applyFont="1" applyAlignment="1">
      <alignment horizontal="center" vertical="center"/>
    </xf>
    <xf numFmtId="0" fontId="9" fillId="0" borderId="9" xfId="0" applyFont="1" applyBorder="1" applyAlignment="1">
      <alignment horizontal="center"/>
    </xf>
    <xf numFmtId="0" fontId="19" fillId="9" borderId="1" xfId="0" applyFont="1" applyFill="1" applyBorder="1" applyAlignment="1">
      <alignment horizontal="center" vertical="center"/>
    </xf>
    <xf numFmtId="0" fontId="17" fillId="6" borderId="1" xfId="5" applyFont="1" applyBorder="1" applyAlignment="1">
      <alignment horizontal="center" vertical="center" wrapText="1"/>
    </xf>
    <xf numFmtId="0" fontId="0" fillId="0" borderId="0" xfId="0" applyAlignment="1">
      <alignment horizontal="center"/>
    </xf>
    <xf numFmtId="0" fontId="19" fillId="8" borderId="3" xfId="0" applyFont="1" applyFill="1" applyBorder="1" applyAlignment="1">
      <alignment horizontal="center" vertical="center"/>
    </xf>
    <xf numFmtId="0" fontId="19" fillId="8" borderId="7" xfId="0" applyFont="1" applyFill="1" applyBorder="1" applyAlignment="1">
      <alignment horizontal="center" vertical="center"/>
    </xf>
    <xf numFmtId="0" fontId="19" fillId="8" borderId="5" xfId="0" applyFont="1" applyFill="1" applyBorder="1" applyAlignment="1">
      <alignment horizontal="center" vertical="center"/>
    </xf>
    <xf numFmtId="0" fontId="19" fillId="8" borderId="1" xfId="0" applyFont="1" applyFill="1" applyBorder="1" applyAlignment="1">
      <alignment horizontal="center" vertical="center"/>
    </xf>
    <xf numFmtId="0" fontId="22" fillId="9" borderId="1" xfId="0" applyFont="1" applyFill="1" applyBorder="1" applyAlignment="1">
      <alignment horizontal="center" vertical="center"/>
    </xf>
  </cellXfs>
  <cellStyles count="6">
    <cellStyle name="40% - Accent1" xfId="2" builtinId="31" customBuiltin="1"/>
    <cellStyle name="Accent2" xfId="3" builtinId="33" customBuiltin="1"/>
    <cellStyle name="Good" xfId="5" builtinId="26"/>
    <cellStyle name="Hyperlink" xfId="1" builtinId="8"/>
    <cellStyle name="Input" xfId="4" builtinId="20"/>
    <cellStyle name="Normal" xfId="0" builtinId="0"/>
  </cellStyles>
  <dxfs count="191">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numFmt numFmtId="164" formatCode="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numFmt numFmtId="164" formatCode="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Arial"/>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Arial"/>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name val="Arial"/>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6"/>
        <name val="Arial"/>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numFmt numFmtId="164" formatCode="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numFmt numFmtId="164" formatCode="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dxf>
    <dxf>
      <border>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6"/>
        <color theme="1"/>
        <name val="Arial"/>
        <scheme val="none"/>
      </font>
      <alignment horizontal="center" vertical="center" textRotation="0" wrapText="1" indent="0" justifyLastLine="0" shrinkToFit="0" readingOrder="0"/>
    </dxf>
    <dxf>
      <border>
        <bottom style="thin">
          <color indexed="64"/>
        </bottom>
      </border>
    </dxf>
    <dxf>
      <font>
        <strike val="0"/>
        <outline val="0"/>
        <shadow val="0"/>
        <u/>
        <vertAlign val="baseline"/>
        <sz val="16"/>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numFmt numFmtId="164" formatCode="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b/>
        <strike val="0"/>
        <outline val="0"/>
        <shadow val="0"/>
        <u val="none"/>
        <vertAlign val="baseline"/>
        <sz val="16"/>
        <color rgb="FF000000"/>
        <name val="Arial"/>
        <scheme val="none"/>
      </font>
      <alignment horizontal="center" vertical="center" textRotation="0" wrapText="1" indent="0" justifyLastLine="0" shrinkToFit="0" readingOrder="0"/>
    </dxf>
    <dxf>
      <border>
        <bottom style="thin">
          <color rgb="FF000000"/>
        </bottom>
      </border>
    </dxf>
    <dxf>
      <font>
        <b/>
        <strike val="0"/>
        <outline val="0"/>
        <shadow val="0"/>
        <u val="none"/>
        <vertAlign val="baseline"/>
        <sz val="16"/>
        <color theme="1"/>
        <name val="Arial"/>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6"/>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6"/>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6"/>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4"/>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Arial"/>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6"/>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6"/>
        <color theme="1"/>
        <name val="Arial"/>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6"/>
        <name val="Arial"/>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font>
      <border diagonalUp="0" diagonalDown="0" outline="0">
        <left style="thin">
          <color indexed="64"/>
        </left>
        <right style="thin">
          <color indexed="64"/>
        </right>
        <top/>
        <bottom/>
      </border>
    </dxf>
    <dxf>
      <border outline="0">
        <top style="thin">
          <color rgb="FF7F7F7F"/>
        </top>
      </border>
    </dxf>
    <dxf>
      <font>
        <b/>
        <strike val="0"/>
        <outline val="0"/>
        <shadow val="0"/>
        <u val="none"/>
        <vertAlign val="baseline"/>
        <sz val="16"/>
        <name val="Arial"/>
        <scheme val="none"/>
      </font>
    </dxf>
    <dxf>
      <font>
        <b/>
        <strike val="0"/>
        <outline val="0"/>
        <shadow val="0"/>
        <u val="none"/>
        <vertAlign val="baseline"/>
        <sz val="16"/>
        <name val="Arial"/>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6</xdr:row>
      <xdr:rowOff>0</xdr:rowOff>
    </xdr:from>
    <xdr:to>
      <xdr:col>20</xdr:col>
      <xdr:colOff>304800</xdr:colOff>
      <xdr:row>6</xdr:row>
      <xdr:rowOff>304800</xdr:rowOff>
    </xdr:to>
    <xdr:sp macro="" textlink="">
      <xdr:nvSpPr>
        <xdr:cNvPr id="2" name="AutoShape 1" descr="blob:https://web.whatsapp.com/06761322-07cd-4cff-a339-16a101bc754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38776275"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20</xdr:col>
      <xdr:colOff>0</xdr:colOff>
      <xdr:row>6</xdr:row>
      <xdr:rowOff>0</xdr:rowOff>
    </xdr:from>
    <xdr:ext cx="304800" cy="304800"/>
    <xdr:sp macro="" textlink="">
      <xdr:nvSpPr>
        <xdr:cNvPr id="3" name="AutoShape 1" descr="blob:https://web.whatsapp.com/06761322-07cd-4cff-a339-16a101bc754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42624375"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xdr:row>
      <xdr:rowOff>0</xdr:rowOff>
    </xdr:from>
    <xdr:ext cx="304800" cy="304800"/>
    <xdr:sp macro="" textlink="">
      <xdr:nvSpPr>
        <xdr:cNvPr id="6" name="AutoShape 1" descr="blob:https://web.whatsapp.com/06761322-07cd-4cff-a339-16a101bc754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30133636" y="53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xdr:row>
      <xdr:rowOff>0</xdr:rowOff>
    </xdr:from>
    <xdr:ext cx="304800" cy="304800"/>
    <xdr:sp macro="" textlink="">
      <xdr:nvSpPr>
        <xdr:cNvPr id="7" name="AutoShape 1" descr="blob:https://web.whatsapp.com/06761322-07cd-4cff-a339-16a101bc754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30133636" y="533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21</xdr:col>
      <xdr:colOff>304800</xdr:colOff>
      <xdr:row>3</xdr:row>
      <xdr:rowOff>304800</xdr:rowOff>
    </xdr:to>
    <xdr:sp macro="" textlink="">
      <xdr:nvSpPr>
        <xdr:cNvPr id="2" name="AutoShape 1" descr="blob:https://web.whatsapp.com/06761322-07cd-4cff-a339-16a101bc754f">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38776275" y="24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19</xdr:col>
      <xdr:colOff>0</xdr:colOff>
      <xdr:row>3</xdr:row>
      <xdr:rowOff>0</xdr:rowOff>
    </xdr:from>
    <xdr:ext cx="304800" cy="304800"/>
    <xdr:sp macro="" textlink="">
      <xdr:nvSpPr>
        <xdr:cNvPr id="3" name="AutoShape 1" descr="blob:https://web.whatsapp.com/06761322-07cd-4cff-a339-16a101bc754f">
          <a:extLst>
            <a:ext uri="{FF2B5EF4-FFF2-40B4-BE49-F238E27FC236}">
              <a16:creationId xmlns:a16="http://schemas.microsoft.com/office/drawing/2014/main" id="{00000000-0008-0000-0400-000003000000}"/>
            </a:ext>
          </a:extLst>
        </xdr:cNvPr>
        <xdr:cNvSpPr>
          <a:spLocks noChangeAspect="1" noChangeArrowheads="1"/>
        </xdr:cNvSpPr>
      </xdr:nvSpPr>
      <xdr:spPr bwMode="auto">
        <a:xfrm>
          <a:off x="42624375" y="24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2:E10" totalsRowCount="1" headerRowDxfId="190" dataDxfId="189" totalsRowDxfId="187" tableBorderDxfId="188">
  <autoFilter ref="A2:E9" xr:uid="{00000000-0009-0000-0100-000001000000}"/>
  <tableColumns count="5">
    <tableColumn id="7" xr3:uid="{00000000-0010-0000-0000-000007000000}" name="Sl no" dataDxfId="186" totalsRowDxfId="185"/>
    <tableColumn id="1" xr3:uid="{00000000-0010-0000-0000-000001000000}" name="Cluster head" dataDxfId="184" totalsRowDxfId="183"/>
    <tableColumn id="2" xr3:uid="{00000000-0010-0000-0000-000002000000}" name="Locations covered" totalsRowLabel="Total" dataDxfId="182" totalsRowDxfId="181"/>
    <tableColumn id="3" xr3:uid="{00000000-0010-0000-0000-000003000000}" name="Hotels" totalsRowFunction="custom" dataDxfId="180" totalsRowDxfId="179">
      <totalsRowFormula>SUM(D4:D9)</totalsRowFormula>
    </tableColumn>
    <tableColumn id="4" xr3:uid="{00000000-0010-0000-0000-000004000000}" name="Total Keys" totalsRowFunction="custom" dataDxfId="178" totalsRowDxfId="177">
      <totalsRowFormula>SUM(E4:E9)</totalsRow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Table811" displayName="Table811" ref="A2:T4" totalsRowShown="0" headerRowDxfId="176" dataDxfId="174" headerRowBorderDxfId="175" tableBorderDxfId="173" totalsRowBorderDxfId="172">
  <autoFilter ref="A2:T4" xr:uid="{00000000-0009-0000-0100-00000A000000}"/>
  <tableColumns count="20">
    <tableColumn id="1" xr3:uid="{00000000-0010-0000-0100-000001000000}" name="S.NO." dataDxfId="171"/>
    <tableColumn id="2" xr3:uid="{00000000-0010-0000-0100-000002000000}" name="LOCATION" dataDxfId="170"/>
    <tableColumn id="4" xr3:uid="{00000000-0010-0000-0100-000004000000}" name="STATE" dataDxfId="169"/>
    <tableColumn id="5" xr3:uid="{00000000-0010-0000-0100-000005000000}" name=" HOTEL" dataDxfId="168"/>
    <tableColumn id="6" xr3:uid="{00000000-0010-0000-0100-000006000000}" name="OWNER" dataDxfId="167"/>
    <tableColumn id="7" xr3:uid="{00000000-0010-0000-0100-000007000000}" name="CONTACT DETAILS" dataDxfId="166"/>
    <tableColumn id="8" xr3:uid="{00000000-0010-0000-0100-000008000000}" name="NO. OF KEYS" dataDxfId="165"/>
    <tableColumn id="9" xr3:uid="{00000000-0010-0000-0100-000009000000}" name=" OPENING DATE" dataDxfId="164">
      <calculatedColumnFormula>DATE(2025,10,25)</calculatedColumnFormula>
    </tableColumn>
    <tableColumn id="10" xr3:uid="{00000000-0010-0000-0100-00000A000000}" name="ARCHITECT " dataDxfId="163"/>
    <tableColumn id="11" xr3:uid="{00000000-0010-0000-0100-00000B000000}" name="ARCHITECT PORTFOLIO" dataDxfId="162"/>
    <tableColumn id="12" xr3:uid="{00000000-0010-0000-0100-00000C000000}" name="CONTACT DETAILS OF ARCHITECTS" dataDxfId="161"/>
    <tableColumn id="13" xr3:uid="{00000000-0010-0000-0100-00000D000000}" name="ARCHITECTURAL DRAWINGS" dataDxfId="160"/>
    <tableColumn id="14" xr3:uid="{00000000-0010-0000-0100-00000E000000}" name="RENDERINGS" dataDxfId="159"/>
    <tableColumn id="15" xr3:uid="{00000000-0010-0000-0100-00000F000000}" name="INTERNAL MEMORANDUM" dataDxfId="158"/>
    <tableColumn id="16" xr3:uid="{00000000-0010-0000-0100-000010000000}" name="PROJECT SCHEDULE" dataDxfId="157"/>
    <tableColumn id="17" xr3:uid="{00000000-0010-0000-0100-000011000000}" name="PRESENT WORK STATUS AT SITE" dataDxfId="156"/>
    <tableColumn id="19" xr3:uid="{00000000-0010-0000-0100-000013000000}" name="PROJECT FEEDBACK" dataDxfId="155"/>
    <tableColumn id="22" xr3:uid="{00000000-0010-0000-0100-000016000000}" name="PROJECT STATUS" dataDxfId="154"/>
    <tableColumn id="20" xr3:uid="{00000000-0010-0000-0100-000014000000}" name="ENGINEER /    PROJECT MANAGER AT SITE" dataDxfId="153"/>
    <tableColumn id="21" xr3:uid="{00000000-0010-0000-0100-000015000000}" name="E/P CONTACT DETAILS" dataDxfId="152"/>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U10" totalsRowShown="0" headerRowDxfId="151" dataDxfId="149" headerRowBorderDxfId="150" tableBorderDxfId="148" totalsRowBorderDxfId="147" headerRowCellStyle="Normal" dataCellStyle="Normal">
  <tableColumns count="21">
    <tableColumn id="1" xr3:uid="{00000000-0010-0000-0200-000001000000}" name="Sl.No" dataDxfId="146" dataCellStyle="Normal"/>
    <tableColumn id="2" xr3:uid="{00000000-0010-0000-0200-000002000000}" name="LOCATION" dataDxfId="145" dataCellStyle="Normal"/>
    <tableColumn id="4" xr3:uid="{00000000-0010-0000-0200-000004000000}" name="STATE" dataDxfId="144" dataCellStyle="Normal"/>
    <tableColumn id="5" xr3:uid="{00000000-0010-0000-0200-000005000000}" name=" HOTEL NAME" dataDxfId="143" dataCellStyle="Normal"/>
    <tableColumn id="6" xr3:uid="{00000000-0010-0000-0200-000006000000}" name=" OWNER" dataDxfId="142" dataCellStyle="Normal"/>
    <tableColumn id="7" xr3:uid="{00000000-0010-0000-0200-000007000000}" name="CONTACT DETAILS" dataDxfId="141" dataCellStyle="Normal"/>
    <tableColumn id="8" xr3:uid="{00000000-0010-0000-0200-000008000000}" name="NO. OF KEYS" dataDxfId="140" dataCellStyle="Normal"/>
    <tableColumn id="9" xr3:uid="{00000000-0010-0000-0200-000009000000}" name="OPENING DATE" dataDxfId="139" dataCellStyle="Normal"/>
    <tableColumn id="10" xr3:uid="{00000000-0010-0000-0200-00000A000000}" name="ARCHITECT " dataDxfId="138" dataCellStyle="Normal"/>
    <tableColumn id="11" xr3:uid="{00000000-0010-0000-0200-00000B000000}" name="ARCHITECT PORTFOLIO" dataDxfId="137" dataCellStyle="Normal"/>
    <tableColumn id="12" xr3:uid="{00000000-0010-0000-0200-00000C000000}" name="CONTACT DETAILS OF ARCHITECTS" dataDxfId="136" dataCellStyle="Normal"/>
    <tableColumn id="13" xr3:uid="{00000000-0010-0000-0200-00000D000000}" name="ARCHITECTURAL DRAWINGS" dataDxfId="135" dataCellStyle="Normal"/>
    <tableColumn id="14" xr3:uid="{00000000-0010-0000-0200-00000E000000}" name="RENDERINGS" dataDxfId="134" dataCellStyle="Normal"/>
    <tableColumn id="15" xr3:uid="{00000000-0010-0000-0200-00000F000000}" name="INTERNAL MEMORANDUM" dataDxfId="133" dataCellStyle="Normal"/>
    <tableColumn id="16" xr3:uid="{00000000-0010-0000-0200-000010000000}" name="PROJECT SCHEDULE" dataDxfId="132" dataCellStyle="Normal"/>
    <tableColumn id="17" xr3:uid="{00000000-0010-0000-0200-000011000000}" name="PRESENT WORK STATUS AT SITE" dataDxfId="131" dataCellStyle="Normal"/>
    <tableColumn id="18" xr3:uid="{00000000-0010-0000-0200-000012000000}" name="PROJECT FEEDBACK as on 28th August " dataDxfId="130"/>
    <tableColumn id="22" xr3:uid="{00000000-0010-0000-0200-000016000000}" name="PROJECT STATUS" dataDxfId="129"/>
    <tableColumn id="20" xr3:uid="{00000000-0010-0000-0200-000014000000}" name="ENGINEERS/   PROJECT MANAGERS AT SITE" dataDxfId="128" dataCellStyle="Normal"/>
    <tableColumn id="21" xr3:uid="{00000000-0010-0000-0200-000015000000}" name="CONTACT DETAILS " dataDxfId="127" dataCellStyle="Normal"/>
    <tableColumn id="3" xr3:uid="{00000000-0010-0000-0200-000003000000}" name="Column1" dataDxfId="126" dataCellStyle="Normal"/>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2:T8" totalsRowShown="0" headerRowDxfId="125" dataDxfId="123" headerRowBorderDxfId="124" tableBorderDxfId="122" totalsRowBorderDxfId="121" headerRowCellStyle="Normal" dataCellStyle="Normal">
  <autoFilter ref="A2:T8" xr:uid="{00000000-0009-0000-0100-000005000000}"/>
  <tableColumns count="20">
    <tableColumn id="1" xr3:uid="{00000000-0010-0000-0300-000001000000}" name="S.NO." dataDxfId="120" dataCellStyle="Normal"/>
    <tableColumn id="2" xr3:uid="{00000000-0010-0000-0300-000002000000}" name="LOCATION" dataDxfId="119" dataCellStyle="Normal"/>
    <tableColumn id="4" xr3:uid="{00000000-0010-0000-0300-000004000000}" name="STATE" dataDxfId="118" dataCellStyle="Normal"/>
    <tableColumn id="5" xr3:uid="{00000000-0010-0000-0300-000005000000}" name="HOTEL NAME" dataDxfId="117" dataCellStyle="Normal"/>
    <tableColumn id="6" xr3:uid="{00000000-0010-0000-0300-000006000000}" name=" OWNER" dataDxfId="116" dataCellStyle="Normal"/>
    <tableColumn id="7" xr3:uid="{00000000-0010-0000-0300-000007000000}" name="CONTACT DETAILS" dataDxfId="115" dataCellStyle="Normal"/>
    <tableColumn id="8" xr3:uid="{00000000-0010-0000-0300-000008000000}" name="NO. OF KEYS" dataDxfId="114" dataCellStyle="Normal"/>
    <tableColumn id="9" xr3:uid="{00000000-0010-0000-0300-000009000000}" name=" OPENING DATE" dataDxfId="113" dataCellStyle="Normal">
      <calculatedColumnFormula>DATE(2025,7,25)</calculatedColumnFormula>
    </tableColumn>
    <tableColumn id="10" xr3:uid="{00000000-0010-0000-0300-00000A000000}" name="ARCHITECT " dataDxfId="112" dataCellStyle="Normal"/>
    <tableColumn id="11" xr3:uid="{00000000-0010-0000-0300-00000B000000}" name="ARCHITECT PORTFOLIO" dataDxfId="111" dataCellStyle="Normal"/>
    <tableColumn id="12" xr3:uid="{00000000-0010-0000-0300-00000C000000}" name="CONTACT DETAILS OF ARCHITECTS" dataDxfId="110" dataCellStyle="Normal"/>
    <tableColumn id="13" xr3:uid="{00000000-0010-0000-0300-00000D000000}" name="ARCHITECTURAL DRAWINGS" dataDxfId="109" dataCellStyle="Normal"/>
    <tableColumn id="14" xr3:uid="{00000000-0010-0000-0300-00000E000000}" name="RENDERINGS" dataDxfId="108" dataCellStyle="Normal"/>
    <tableColumn id="15" xr3:uid="{00000000-0010-0000-0300-00000F000000}" name="INTERNAL MEMORANDUM" dataDxfId="107" dataCellStyle="Normal"/>
    <tableColumn id="16" xr3:uid="{00000000-0010-0000-0300-000010000000}" name="PROJECT SCHEDULE" dataDxfId="106" dataCellStyle="Normal"/>
    <tableColumn id="17" xr3:uid="{00000000-0010-0000-0300-000011000000}" name="PRESENT WORK STATUS AT SITE" dataDxfId="105" dataCellStyle="Normal"/>
    <tableColumn id="20" xr3:uid="{00000000-0010-0000-0300-000014000000}" name="PROJECT FEEDBACK" dataDxfId="104"/>
    <tableColumn id="21" xr3:uid="{00000000-0010-0000-0300-000015000000}" name="PROJECT STATUS" dataDxfId="103"/>
    <tableColumn id="18" xr3:uid="{00000000-0010-0000-0300-000012000000}" name="ENGINEERS /                 PROJECT MANAGERS AT SITE" dataDxfId="102" dataCellStyle="Normal"/>
    <tableColumn id="19" xr3:uid="{00000000-0010-0000-0300-000013000000}" name="E/P CONTACT DETAILS" dataDxfId="101" dataCellStyle="Norma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A2:U7" totalsRowShown="0" headerRowDxfId="100" dataDxfId="98" headerRowBorderDxfId="99" tableBorderDxfId="97" totalsRowBorderDxfId="96" headerRowCellStyle="Normal" dataCellStyle="Normal">
  <autoFilter ref="A2:U7" xr:uid="{00000000-0009-0000-0100-000006000000}"/>
  <tableColumns count="21">
    <tableColumn id="1" xr3:uid="{00000000-0010-0000-0400-000001000000}" name="S.NO." dataDxfId="95" dataCellStyle="Normal"/>
    <tableColumn id="2" xr3:uid="{00000000-0010-0000-0400-000002000000}" name="LOCATION" dataDxfId="94" dataCellStyle="Normal"/>
    <tableColumn id="4" xr3:uid="{00000000-0010-0000-0400-000004000000}" name="STATE" dataDxfId="93" dataCellStyle="Normal"/>
    <tableColumn id="3" xr3:uid="{00000000-0010-0000-0400-000003000000}" name="CLUSTER HEAD" dataDxfId="92" dataCellStyle="Normal"/>
    <tableColumn id="5" xr3:uid="{00000000-0010-0000-0400-000005000000}" name="HOTEL" dataDxfId="91" dataCellStyle="Normal"/>
    <tableColumn id="6" xr3:uid="{00000000-0010-0000-0400-000006000000}" name=" OWNER" dataDxfId="90" dataCellStyle="Normal"/>
    <tableColumn id="7" xr3:uid="{00000000-0010-0000-0400-000007000000}" name="CONTACT DETAILS" dataDxfId="89" dataCellStyle="Normal"/>
    <tableColumn id="8" xr3:uid="{00000000-0010-0000-0400-000008000000}" name="NO. OF KEYS" dataDxfId="88" dataCellStyle="Normal"/>
    <tableColumn id="9" xr3:uid="{00000000-0010-0000-0400-000009000000}" name="OPENING DATE" dataDxfId="87" dataCellStyle="Normal">
      <calculatedColumnFormula>DATE(2025,7,25)</calculatedColumnFormula>
    </tableColumn>
    <tableColumn id="10" xr3:uid="{00000000-0010-0000-0400-00000A000000}" name="ARCHITECT " dataDxfId="86" dataCellStyle="Normal"/>
    <tableColumn id="11" xr3:uid="{00000000-0010-0000-0400-00000B000000}" name="ARCHITECT PORTFOLIO" dataDxfId="85" dataCellStyle="Normal"/>
    <tableColumn id="12" xr3:uid="{00000000-0010-0000-0400-00000C000000}" name="CONTACT DETAILS OF ARCHITECTS" dataDxfId="84" dataCellStyle="Normal"/>
    <tableColumn id="13" xr3:uid="{00000000-0010-0000-0400-00000D000000}" name="ARCHITECTURAL DRAWINGS" dataDxfId="83" dataCellStyle="Normal"/>
    <tableColumn id="14" xr3:uid="{00000000-0010-0000-0400-00000E000000}" name="RENDERINGS" dataDxfId="82" dataCellStyle="Normal"/>
    <tableColumn id="15" xr3:uid="{00000000-0010-0000-0400-00000F000000}" name="INTERNAL MEMORANDUM" dataDxfId="81" dataCellStyle="Normal"/>
    <tableColumn id="16" xr3:uid="{00000000-0010-0000-0400-000010000000}" name="PROJECT SCHEDULE" dataDxfId="80" dataCellStyle="Normal"/>
    <tableColumn id="17" xr3:uid="{00000000-0010-0000-0400-000011000000}" name="PRESENT WORK STATUS AT SITE" dataDxfId="79" dataCellStyle="Normal"/>
    <tableColumn id="19" xr3:uid="{00000000-0010-0000-0400-000013000000}" name="PROJECT FEEDBACK" dataDxfId="78" dataCellStyle="Hyperlink"/>
    <tableColumn id="18" xr3:uid="{00000000-0010-0000-0400-000012000000}" name="PROJECT STATUS" dataDxfId="77" dataCellStyle="Hyperlink"/>
    <tableColumn id="20" xr3:uid="{00000000-0010-0000-0400-000014000000}" name="ENGINEER /                  PROJECT MANAGER AT SITE" dataDxfId="76" dataCellStyle="Normal"/>
    <tableColumn id="21" xr3:uid="{00000000-0010-0000-0400-000015000000}" name="CONTACT DETAILS " dataDxfId="75" dataCellStyle="Norma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7" displayName="Table7" ref="A2:T16" totalsRowShown="0" headerRowDxfId="74" dataDxfId="72" headerRowBorderDxfId="73" tableBorderDxfId="71" totalsRowBorderDxfId="70" headerRowCellStyle="Normal" dataCellStyle="Normal">
  <autoFilter ref="A2:T16" xr:uid="{00000000-0009-0000-0100-000007000000}"/>
  <tableColumns count="20">
    <tableColumn id="1" xr3:uid="{00000000-0010-0000-0500-000001000000}" name="0" dataDxfId="69" dataCellStyle="Normal"/>
    <tableColumn id="2" xr3:uid="{00000000-0010-0000-0500-000002000000}" name="LOCATION" dataDxfId="68" dataCellStyle="Normal"/>
    <tableColumn id="4" xr3:uid="{00000000-0010-0000-0500-000004000000}" name="STATE" dataDxfId="67" dataCellStyle="Normal"/>
    <tableColumn id="5" xr3:uid="{00000000-0010-0000-0500-000005000000}" name="HOTEL" dataDxfId="66" dataCellStyle="Normal"/>
    <tableColumn id="6" xr3:uid="{00000000-0010-0000-0500-000006000000}" name=" OWNER" dataDxfId="65" dataCellStyle="Normal"/>
    <tableColumn id="7" xr3:uid="{00000000-0010-0000-0500-000007000000}" name="CONTACT DETAILS" dataDxfId="64" dataCellStyle="Normal"/>
    <tableColumn id="8" xr3:uid="{00000000-0010-0000-0500-000008000000}" name="NO. OF KEYS" dataDxfId="63" dataCellStyle="Normal"/>
    <tableColumn id="9" xr3:uid="{00000000-0010-0000-0500-000009000000}" name="OPENING DATE" dataDxfId="62" dataCellStyle="Normal">
      <calculatedColumnFormula>date</calculatedColumnFormula>
    </tableColumn>
    <tableColumn id="10" xr3:uid="{00000000-0010-0000-0500-00000A000000}" name="ARCHITECT " dataDxfId="61" dataCellStyle="Normal"/>
    <tableColumn id="11" xr3:uid="{00000000-0010-0000-0500-00000B000000}" name="ARCHITECT PORTFOLIO" dataDxfId="60" dataCellStyle="Normal"/>
    <tableColumn id="12" xr3:uid="{00000000-0010-0000-0500-00000C000000}" name="CONTACT DETAILS OF ARCHITECTS" dataDxfId="59" dataCellStyle="Normal"/>
    <tableColumn id="13" xr3:uid="{00000000-0010-0000-0500-00000D000000}" name="ARCHITECTURAL DRAWINGS" dataDxfId="58" dataCellStyle="Normal"/>
    <tableColumn id="14" xr3:uid="{00000000-0010-0000-0500-00000E000000}" name="RENDERINGS" dataDxfId="57" dataCellStyle="Normal"/>
    <tableColumn id="15" xr3:uid="{00000000-0010-0000-0500-00000F000000}" name="INTERNAL MEMORANDUM" dataDxfId="56" dataCellStyle="Normal"/>
    <tableColumn id="16" xr3:uid="{00000000-0010-0000-0500-000010000000}" name="PROJECT SCHEDULE" dataDxfId="55" dataCellStyle="Normal"/>
    <tableColumn id="17" xr3:uid="{00000000-0010-0000-0500-000011000000}" name="PRESENT WORK STATUS AT SITE" dataDxfId="54" dataCellStyle="Normal"/>
    <tableColumn id="19" xr3:uid="{00000000-0010-0000-0500-000013000000}" name="PROJECT FEEDBACK" dataDxfId="53"/>
    <tableColumn id="18" xr3:uid="{00000000-0010-0000-0500-000012000000}" name="PROJECT STATUS" dataDxfId="52"/>
    <tableColumn id="20" xr3:uid="{00000000-0010-0000-0500-000014000000}" name="ENGINEERS / PROJECT MANAGERS AT SITE" dataDxfId="51" dataCellStyle="Normal"/>
    <tableColumn id="21" xr3:uid="{00000000-0010-0000-0500-000015000000}" name="CONTACT DETAILS2" dataDxfId="50" dataCellStyle="Normal"/>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8" displayName="Table8" ref="A2:T5" totalsRowShown="0" headerRowDxfId="49" dataDxfId="47" headerRowBorderDxfId="48" tableBorderDxfId="46" totalsRowBorderDxfId="45">
  <autoFilter ref="A2:T5" xr:uid="{00000000-0009-0000-0100-000008000000}"/>
  <tableColumns count="20">
    <tableColumn id="1" xr3:uid="{00000000-0010-0000-0600-000001000000}" name="S.NO." dataDxfId="44"/>
    <tableColumn id="2" xr3:uid="{00000000-0010-0000-0600-000002000000}" name="LOCATION" dataDxfId="43"/>
    <tableColumn id="4" xr3:uid="{00000000-0010-0000-0600-000004000000}" name="STATE" dataDxfId="42"/>
    <tableColumn id="5" xr3:uid="{00000000-0010-0000-0600-000005000000}" name=" HOTEL" dataDxfId="41"/>
    <tableColumn id="6" xr3:uid="{00000000-0010-0000-0600-000006000000}" name="OWNER" dataDxfId="40"/>
    <tableColumn id="7" xr3:uid="{00000000-0010-0000-0600-000007000000}" name="CONTACT DETAILS" dataDxfId="39"/>
    <tableColumn id="8" xr3:uid="{00000000-0010-0000-0600-000008000000}" name="NO. OF KEYS" dataDxfId="38"/>
    <tableColumn id="9" xr3:uid="{00000000-0010-0000-0600-000009000000}" name=" OPENING DATE" dataDxfId="37">
      <calculatedColumnFormula>DATE(2025,10,25)</calculatedColumnFormula>
    </tableColumn>
    <tableColumn id="10" xr3:uid="{00000000-0010-0000-0600-00000A000000}" name="ARCHITECT " dataDxfId="36"/>
    <tableColumn id="11" xr3:uid="{00000000-0010-0000-0600-00000B000000}" name="ARCHITECT PORTFOLIO" dataDxfId="35"/>
    <tableColumn id="12" xr3:uid="{00000000-0010-0000-0600-00000C000000}" name="CONTACT DETAILS OF ARCHITECTS" dataDxfId="34"/>
    <tableColumn id="13" xr3:uid="{00000000-0010-0000-0600-00000D000000}" name="ARCHITECTURAL DRAWINGS" dataDxfId="33"/>
    <tableColumn id="14" xr3:uid="{00000000-0010-0000-0600-00000E000000}" name="RENDERINGS" dataDxfId="32"/>
    <tableColumn id="15" xr3:uid="{00000000-0010-0000-0600-00000F000000}" name="INTERNAL MEMORANDUM" dataDxfId="31"/>
    <tableColumn id="16" xr3:uid="{00000000-0010-0000-0600-000010000000}" name="PROJECT SCHEDULE" dataDxfId="30"/>
    <tableColumn id="17" xr3:uid="{00000000-0010-0000-0600-000011000000}" name="PRESENT WORK STATUS AT SITE" dataDxfId="29"/>
    <tableColumn id="19" xr3:uid="{00000000-0010-0000-0600-000013000000}" name="PROJECT FEEDBACK" dataDxfId="28"/>
    <tableColumn id="22" xr3:uid="{00000000-0010-0000-0600-000016000000}" name="PROJECT STATUS" dataDxfId="27"/>
    <tableColumn id="20" xr3:uid="{00000000-0010-0000-0600-000014000000}" name="ENGINEER /    PROJECT MANAGER AT SITE" dataDxfId="26"/>
    <tableColumn id="21" xr3:uid="{00000000-0010-0000-0600-000015000000}" name="E/P CONTACT DETAILS" dataDxfId="25"/>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A2:T5" totalsRowShown="0" headerRowDxfId="24" dataDxfId="22" headerRowBorderDxfId="23" tableBorderDxfId="21" totalsRowBorderDxfId="20">
  <autoFilter ref="A2:T5" xr:uid="{00000000-0009-0000-0100-000009000000}"/>
  <tableColumns count="20">
    <tableColumn id="1" xr3:uid="{00000000-0010-0000-0700-000001000000}" name="S.NO." dataDxfId="19"/>
    <tableColumn id="2" xr3:uid="{00000000-0010-0000-0700-000002000000}" name="LOCATION" dataDxfId="18"/>
    <tableColumn id="4" xr3:uid="{00000000-0010-0000-0700-000004000000}" name="STATE" dataDxfId="17"/>
    <tableColumn id="5" xr3:uid="{00000000-0010-0000-0700-000005000000}" name="HOTEL" dataDxfId="16"/>
    <tableColumn id="6" xr3:uid="{00000000-0010-0000-0700-000006000000}" name=" OWNER" dataDxfId="15"/>
    <tableColumn id="7" xr3:uid="{00000000-0010-0000-0700-000007000000}" name="CONTACT DETAILS" dataDxfId="14"/>
    <tableColumn id="8" xr3:uid="{00000000-0010-0000-0700-000008000000}" name="NO. OF KEYS" dataDxfId="13"/>
    <tableColumn id="9" xr3:uid="{00000000-0010-0000-0700-000009000000}" name=" OPENING DATE" dataDxfId="12">
      <calculatedColumnFormula>DATE(2025,8,25)</calculatedColumnFormula>
    </tableColumn>
    <tableColumn id="10" xr3:uid="{00000000-0010-0000-0700-00000A000000}" name="ARCHITECT " dataDxfId="11"/>
    <tableColumn id="11" xr3:uid="{00000000-0010-0000-0700-00000B000000}" name="ARCHITECT PORTFOLIO" dataDxfId="10"/>
    <tableColumn id="12" xr3:uid="{00000000-0010-0000-0700-00000C000000}" name="CONTACT DETAILS OF ARCHITECT" dataDxfId="9"/>
    <tableColumn id="13" xr3:uid="{00000000-0010-0000-0700-00000D000000}" name="ARCHITECTURAL DRAWINGS" dataDxfId="8"/>
    <tableColumn id="14" xr3:uid="{00000000-0010-0000-0700-00000E000000}" name="RENDERINGS" dataDxfId="7"/>
    <tableColumn id="15" xr3:uid="{00000000-0010-0000-0700-00000F000000}" name="INTERNAL MEMORANDUM" dataDxfId="6"/>
    <tableColumn id="16" xr3:uid="{00000000-0010-0000-0700-000010000000}" name="PROJECT SCHEDULE" dataDxfId="5"/>
    <tableColumn id="17" xr3:uid="{00000000-0010-0000-0700-000011000000}" name="PRESENT WORK STATUS AT SITE" dataDxfId="4"/>
    <tableColumn id="20" xr3:uid="{00000000-0010-0000-0700-000014000000}" name="PROJECT FEEDBACK" dataDxfId="3"/>
    <tableColumn id="18" xr3:uid="{00000000-0010-0000-0700-000012000000}" name="PROJECT STATUS" dataDxfId="2"/>
    <tableColumn id="19" xr3:uid="{00000000-0010-0000-0700-000013000000}" name="ENGINEER / PROJECT MANAGER AT SITE" dataDxfId="1"/>
    <tableColumn id="21" xr3:uid="{00000000-0010-0000-0700-000015000000}" name="CONTACT DETAILS2"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orkdrive.zohopublic.in/file/9n8pmf28a539d433c4e78806ff66f7cf4706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orkdrive.zohopublic.in/folder/qusygaf6b1398826846edb7550058bd3ac066" TargetMode="External"/><Relationship Id="rId13" Type="http://schemas.openxmlformats.org/officeDocument/2006/relationships/hyperlink" Target="https://studiolinecraft.in/" TargetMode="External"/><Relationship Id="rId18" Type="http://schemas.openxmlformats.org/officeDocument/2006/relationships/hyperlink" Target="https://workdrive.zohopublic.in/file/idymt1a28e8c06a4d41d78c7bd0808710185f" TargetMode="External"/><Relationship Id="rId26" Type="http://schemas.openxmlformats.org/officeDocument/2006/relationships/printerSettings" Target="../printerSettings/printerSettings4.bin"/><Relationship Id="rId3" Type="http://schemas.openxmlformats.org/officeDocument/2006/relationships/hyperlink" Target="https://workdrive.zohopublic.in/file/qusygce62f3453d0946039297c7fa063e8acd" TargetMode="External"/><Relationship Id="rId21" Type="http://schemas.openxmlformats.org/officeDocument/2006/relationships/hyperlink" Target="https://workdrive.zohopublic.in/folder/qusyg90d67765b7934d95bf5f194b12ab2c27" TargetMode="External"/><Relationship Id="rId7" Type="http://schemas.openxmlformats.org/officeDocument/2006/relationships/hyperlink" Target="https://workdrive.zohopublic.in/folder/qusygce323cf0f36940cda2302f144c9c59f4" TargetMode="External"/><Relationship Id="rId12" Type="http://schemas.openxmlformats.org/officeDocument/2006/relationships/hyperlink" Target="https://workdrive.zohopublic.in/folder/qusyga4657f27954d4479a98629f0c37268b4" TargetMode="External"/><Relationship Id="rId17" Type="http://schemas.openxmlformats.org/officeDocument/2006/relationships/hyperlink" Target="https://workdrive.zohopublic.in/folder/116voe17ad800682c47af80f36462640ac03d" TargetMode="External"/><Relationship Id="rId25" Type="http://schemas.openxmlformats.org/officeDocument/2006/relationships/hyperlink" Target="https://workdrive.zoho.in/folder/9n8pmf5b4ba03170e4d1ab1a1fe5766fb004b" TargetMode="External"/><Relationship Id="rId2" Type="http://schemas.openxmlformats.org/officeDocument/2006/relationships/hyperlink" Target="https://workdrive.zohopublic.in/file/qusyg9ef214c951f74462b90710cc7fdf1fd4" TargetMode="External"/><Relationship Id="rId16" Type="http://schemas.openxmlformats.org/officeDocument/2006/relationships/hyperlink" Target="https://workdrive.zohopublic.in/file/qusyg3b6b95f3c43a457b996417237d7bd596" TargetMode="External"/><Relationship Id="rId20" Type="http://schemas.openxmlformats.org/officeDocument/2006/relationships/hyperlink" Target="https://workdrive.zohopublic.in/file/095bx6ed1b4f996dd4342a1bb2598623f41c8" TargetMode="External"/><Relationship Id="rId1" Type="http://schemas.openxmlformats.org/officeDocument/2006/relationships/printerSettings" Target="../printerSettings/printerSettings3.bin"/><Relationship Id="rId6" Type="http://schemas.openxmlformats.org/officeDocument/2006/relationships/hyperlink" Target="https://workdrive.zohopublic.in/folder/qusyg32a71378106b4a41a14b57cf99ed3196" TargetMode="External"/><Relationship Id="rId11" Type="http://schemas.openxmlformats.org/officeDocument/2006/relationships/hyperlink" Target="https://workdrive.zohopublic.in/folder/qusyg842a273b31624ebbb65184aabdc519f3" TargetMode="External"/><Relationship Id="rId24" Type="http://schemas.openxmlformats.org/officeDocument/2006/relationships/hyperlink" Target="https://workdrive.zoho.in/folder/9n8pmf24d6669c73a48648b214c1c57fd6380" TargetMode="External"/><Relationship Id="rId5" Type="http://schemas.openxmlformats.org/officeDocument/2006/relationships/hyperlink" Target="https://workdrive.zohopublic.in/folder/qusyg8c0001c0a6124df3a3dafa2ae787d660" TargetMode="External"/><Relationship Id="rId15" Type="http://schemas.openxmlformats.org/officeDocument/2006/relationships/hyperlink" Target="https://workdrive.zohopublic.in/file/d7kd5890e5288744446acab55126846884182" TargetMode="External"/><Relationship Id="rId23" Type="http://schemas.openxmlformats.org/officeDocument/2006/relationships/hyperlink" Target="https://workdrive.zoho.in/folder/9n8pma0ecd665d05e45c9b0b9b2e784295669" TargetMode="External"/><Relationship Id="rId10" Type="http://schemas.openxmlformats.org/officeDocument/2006/relationships/hyperlink" Target="https://workdrive.zohopublic.in/folder/qusyg3bc30b376cfe427881ce0d81fe78fdc6" TargetMode="External"/><Relationship Id="rId19" Type="http://schemas.openxmlformats.org/officeDocument/2006/relationships/hyperlink" Target="https://workdrive.zohopublic.in/file/7l4hk44e98615cccb464eb7e9c4b7633ef2cf" TargetMode="External"/><Relationship Id="rId4" Type="http://schemas.openxmlformats.org/officeDocument/2006/relationships/hyperlink" Target="https://workdrive.zohopublic.in/file/qusyge34d476afc4d412782395166c4f7fc44" TargetMode="External"/><Relationship Id="rId9" Type="http://schemas.openxmlformats.org/officeDocument/2006/relationships/hyperlink" Target="https://workdrive.zohopublic.in/folder/qusyg006f00a722a646e68d36d6e52b611cb9" TargetMode="External"/><Relationship Id="rId14" Type="http://schemas.openxmlformats.org/officeDocument/2006/relationships/hyperlink" Target="https://workdrive.zohopublic.in/file/d7kd5cd7a5fb817b64a9bbcbb9bade4683f75" TargetMode="External"/><Relationship Id="rId22" Type="http://schemas.openxmlformats.org/officeDocument/2006/relationships/hyperlink" Target="https://workdrive.zoho.in/folder/9n41ya9a0447883a94f799851a3abfd41ed6d" TargetMode="External"/><Relationship Id="rId2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facebook.com/share/16JJXkegQV/?mibextid=wwXIfr" TargetMode="External"/><Relationship Id="rId13" Type="http://schemas.openxmlformats.org/officeDocument/2006/relationships/hyperlink" Target="https://www.archpoint.in/" TargetMode="External"/><Relationship Id="rId18" Type="http://schemas.openxmlformats.org/officeDocument/2006/relationships/hyperlink" Target="https://workdrive.zoho.in/folder/9n8pmd5d04502ccdd4bf1aa2ffe9cc5634b8c" TargetMode="External"/><Relationship Id="rId3" Type="http://schemas.openxmlformats.org/officeDocument/2006/relationships/hyperlink" Target="https://workdrive.zohopublic.in/folder/qusygd6b8b63993df454abebbafbf73b2ca9a" TargetMode="External"/><Relationship Id="rId21" Type="http://schemas.openxmlformats.org/officeDocument/2006/relationships/drawing" Target="../drawings/drawing1.xml"/><Relationship Id="rId7" Type="http://schemas.openxmlformats.org/officeDocument/2006/relationships/hyperlink" Target="https://workdrive.zohopublic.in/file/qusyg3ce6f9245cd641db96f678ed12da8dbf" TargetMode="External"/><Relationship Id="rId12" Type="http://schemas.openxmlformats.org/officeDocument/2006/relationships/hyperlink" Target="https://workdrive.zohopublic.in/file/z2rn5c90849a3526140848dfed3bd8d666fee" TargetMode="External"/><Relationship Id="rId17" Type="http://schemas.openxmlformats.org/officeDocument/2006/relationships/hyperlink" Target="https://workdrive.zohopublic.in/folder/qusygb44b8ee04d25448c81ed8182b28ddace" TargetMode="External"/><Relationship Id="rId2" Type="http://schemas.openxmlformats.org/officeDocument/2006/relationships/hyperlink" Target="https://workdrive.zohopublic.in/folder/qusygd280634fb2574f6bb6f6041a766c9da6" TargetMode="External"/><Relationship Id="rId16" Type="http://schemas.openxmlformats.org/officeDocument/2006/relationships/hyperlink" Target="https://www.facebook.com/designframe30/" TargetMode="External"/><Relationship Id="rId20"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s://workdrive.zohopublic.in/file/qusyg16dfd9ad70224d3a9e8fa5655deb6f93" TargetMode="External"/><Relationship Id="rId11" Type="http://schemas.openxmlformats.org/officeDocument/2006/relationships/hyperlink" Target="https://workdrive.zohopublic.in/file/d7kd596196f32b5f94d1ca0504cac07bf45c3" TargetMode="External"/><Relationship Id="rId5" Type="http://schemas.openxmlformats.org/officeDocument/2006/relationships/hyperlink" Target="https://workdrive.zohopublic.in/folder/qusyg1a86a8adb6164873a4b8bf4852a6524d" TargetMode="External"/><Relationship Id="rId15" Type="http://schemas.openxmlformats.org/officeDocument/2006/relationships/hyperlink" Target="https://workdrive.zohopublic.in/file/gaqr18972050a3522423c9e30a5c1499f16a8" TargetMode="External"/><Relationship Id="rId10" Type="http://schemas.openxmlformats.org/officeDocument/2006/relationships/hyperlink" Target="https://workdrive.zohopublic.in/file/d7kd58d9a4c56144243e0b56afc0e70584e32" TargetMode="External"/><Relationship Id="rId19" Type="http://schemas.openxmlformats.org/officeDocument/2006/relationships/hyperlink" Target="https://workdrive.zoho.in/folder/9n8pm551ce5d20c144c209165f04bed601bba" TargetMode="External"/><Relationship Id="rId4" Type="http://schemas.openxmlformats.org/officeDocument/2006/relationships/hyperlink" Target="https://workdrive.zohopublic.in/folder/qusyge274ad472c4249f4ab9e7496514cec2e" TargetMode="External"/><Relationship Id="rId9" Type="http://schemas.openxmlformats.org/officeDocument/2006/relationships/hyperlink" Target="https://workdrive.zohopublic.in/file/d7kd5e52d5a7f511542fb8815ed9565de699a" TargetMode="External"/><Relationship Id="rId14" Type="http://schemas.openxmlformats.org/officeDocument/2006/relationships/hyperlink" Target="https://workdrive.zohopublic.in/file/d7kd5e12435e83e21427c92ff2b3a17349c34" TargetMode="External"/><Relationship Id="rId22"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hyperlink" Target="https://workdrive.zoho.in/folder/eul5o72bc88ef922e4bdeb03ab1a8827cd0f7" TargetMode="External"/><Relationship Id="rId13" Type="http://schemas.openxmlformats.org/officeDocument/2006/relationships/hyperlink" Target="https://workdrive.zohopublic.in/file/d7kd58244f99f687341d9bef7dd5662380829" TargetMode="External"/><Relationship Id="rId18" Type="http://schemas.openxmlformats.org/officeDocument/2006/relationships/hyperlink" Target="https://workdrive.zoho.in/folder/9n8pmc828b7dd1e80474faaea67151e9792e6" TargetMode="External"/><Relationship Id="rId3" Type="http://schemas.openxmlformats.org/officeDocument/2006/relationships/hyperlink" Target="https://workdrive.zohopublic.in/folder/qusygddb751c59db848a98f94561a2296e9e7" TargetMode="External"/><Relationship Id="rId21" Type="http://schemas.openxmlformats.org/officeDocument/2006/relationships/table" Target="../tables/table5.xml"/><Relationship Id="rId7" Type="http://schemas.openxmlformats.org/officeDocument/2006/relationships/hyperlink" Target="https://workdrive.zohopublic.in/folder/qusygea2c3b01ff314791b7df664ad9a8c609" TargetMode="External"/><Relationship Id="rId12" Type="http://schemas.openxmlformats.org/officeDocument/2006/relationships/hyperlink" Target="https://workdrive.zohopublic.in/file/d7kd5e0c9bea498e94e1d86793becdf5a56f2" TargetMode="External"/><Relationship Id="rId17" Type="http://schemas.openxmlformats.org/officeDocument/2006/relationships/hyperlink" Target="https://drive.google.com/drive/folders/1N3046mw_kKSkA8__ZSuvY77WoxuoW76h?usp=drive_link" TargetMode="External"/><Relationship Id="rId2" Type="http://schemas.openxmlformats.org/officeDocument/2006/relationships/hyperlink" Target="https://workdrive.zohopublic.in/folder/qusyg6065c4e335ba4193b60fabfafb9649fc" TargetMode="External"/><Relationship Id="rId16" Type="http://schemas.openxmlformats.org/officeDocument/2006/relationships/hyperlink" Target="https://workdrive.zoho.in/folder/9n8pm90eceb3c92244272957938deede4c348" TargetMode="External"/><Relationship Id="rId20" Type="http://schemas.openxmlformats.org/officeDocument/2006/relationships/drawing" Target="../drawings/drawing2.xml"/><Relationship Id="rId1" Type="http://schemas.openxmlformats.org/officeDocument/2006/relationships/printerSettings" Target="../printerSettings/printerSettings7.bin"/><Relationship Id="rId6" Type="http://schemas.openxmlformats.org/officeDocument/2006/relationships/hyperlink" Target="https://workdrive.zohopublic.in/folder/qusyge6e299ce229c4147a34407132e99e9eb" TargetMode="External"/><Relationship Id="rId11" Type="http://schemas.openxmlformats.org/officeDocument/2006/relationships/hyperlink" Target="https://workdrive.zohopublic.in/folder/d7kd5ebbfb63df5f04987a495aa76b9a89c39" TargetMode="External"/><Relationship Id="rId5" Type="http://schemas.openxmlformats.org/officeDocument/2006/relationships/hyperlink" Target="https://workdrive.zohopublic.in/folder/qusyg5b50a57d8fa04d649cd6f0a8d899108c" TargetMode="External"/><Relationship Id="rId15" Type="http://schemas.openxmlformats.org/officeDocument/2006/relationships/hyperlink" Target="https://workdrive.zohopublic.in/file/n8aq8bad2560118ed43d2801661dafc34c449" TargetMode="External"/><Relationship Id="rId10" Type="http://schemas.openxmlformats.org/officeDocument/2006/relationships/hyperlink" Target="https://workdrive.zohopublic.in/folder/d7kd5ecb4fdc5239f42c8964eae2eecce3ebe" TargetMode="External"/><Relationship Id="rId19" Type="http://schemas.openxmlformats.org/officeDocument/2006/relationships/printerSettings" Target="../printerSettings/printerSettings8.bin"/><Relationship Id="rId4" Type="http://schemas.openxmlformats.org/officeDocument/2006/relationships/hyperlink" Target="https://workdrive.zohopublic.in/folder/qusyg843f74f0d76248f7833875ba60c672b2" TargetMode="External"/><Relationship Id="rId9" Type="http://schemas.openxmlformats.org/officeDocument/2006/relationships/hyperlink" Target="https://dimensiongraph.com/" TargetMode="External"/><Relationship Id="rId14" Type="http://schemas.openxmlformats.org/officeDocument/2006/relationships/hyperlink" Target="https://workdrive.zohopublic.in/file/d7kd5a7e3924bb773404d8757cb910112ab01"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orkdrive.zohopublic.in/folder/qusyg8c1254f35f0241c986c47babbef34777" TargetMode="External"/><Relationship Id="rId13" Type="http://schemas.openxmlformats.org/officeDocument/2006/relationships/hyperlink" Target="https://workdrive.zohopublic.in/folder/qusygb2b0a2d4fb4f4da2a4e6430445f63239" TargetMode="External"/><Relationship Id="rId18" Type="http://schemas.openxmlformats.org/officeDocument/2006/relationships/hyperlink" Target="https://workdrive.zohopublic.in/folder/qusygc0422d7e80ec4af5888efcf20dcda36e" TargetMode="External"/><Relationship Id="rId26" Type="http://schemas.openxmlformats.org/officeDocument/2006/relationships/hyperlink" Target="https://workdrive.zohopublic.in/file/d7kd575e05f4d3dca40c5a216f63d860db437" TargetMode="External"/><Relationship Id="rId39" Type="http://schemas.openxmlformats.org/officeDocument/2006/relationships/hyperlink" Target="https://workdrive.zoho.in/folder/9n8pm85d64cd7d14c4f7780753d9a6f27b248" TargetMode="External"/><Relationship Id="rId3" Type="http://schemas.openxmlformats.org/officeDocument/2006/relationships/hyperlink" Target="https://workdrive.zohopublic.in/folder/qusyge94dbb6e64a34b85be254ea01f70542b" TargetMode="External"/><Relationship Id="rId21" Type="http://schemas.openxmlformats.org/officeDocument/2006/relationships/hyperlink" Target="https://workdrive.zohopublic.in/file/qusygeac3729e37d642a481438a49935be854" TargetMode="External"/><Relationship Id="rId34" Type="http://schemas.openxmlformats.org/officeDocument/2006/relationships/hyperlink" Target="https://workdrive.zohopublic.in/file/gzano4ff33ea382e54f0a8d8bcfdb488ec5f1" TargetMode="External"/><Relationship Id="rId42" Type="http://schemas.openxmlformats.org/officeDocument/2006/relationships/hyperlink" Target="https://workdrive.zohopublic.in/file/9n8pm26fa6e61fcd84a1190044c368529ce3f" TargetMode="External"/><Relationship Id="rId7" Type="http://schemas.openxmlformats.org/officeDocument/2006/relationships/hyperlink" Target="https://workdrive.zohopublic.in/folder/qusyg8878189c4ba24491a7b0edba63962f64" TargetMode="External"/><Relationship Id="rId12" Type="http://schemas.openxmlformats.org/officeDocument/2006/relationships/hyperlink" Target="https://workdrive.zohopublic.in/folder/qusyga4853687d90d474abf86fb9a462d5cae" TargetMode="External"/><Relationship Id="rId17" Type="http://schemas.openxmlformats.org/officeDocument/2006/relationships/hyperlink" Target="https://workdrive.zohopublic.in/folder/qusygf48229e2cee344e9880ca1fcd129e8ee" TargetMode="External"/><Relationship Id="rId25" Type="http://schemas.openxmlformats.org/officeDocument/2006/relationships/hyperlink" Target="https://workdrive.zohopublic.in/file/d7kd502e422bf19554027b14a6bf45bc43039" TargetMode="External"/><Relationship Id="rId33" Type="http://schemas.openxmlformats.org/officeDocument/2006/relationships/hyperlink" Target="https://workdrive.zohopublic.in/file/idymt3de683894e2d47acb86ad78dee9e0c81" TargetMode="External"/><Relationship Id="rId38" Type="http://schemas.openxmlformats.org/officeDocument/2006/relationships/hyperlink" Target="https://workdrive.zoho.in/folder/9n8pm01ddfc7ebac44d38bc87efaef8219416" TargetMode="External"/><Relationship Id="rId2" Type="http://schemas.openxmlformats.org/officeDocument/2006/relationships/hyperlink" Target="https://workdrive.zohopublic.in/folder/qusyg5f6e932660a2402ab330ab7f418a40cd" TargetMode="External"/><Relationship Id="rId16" Type="http://schemas.openxmlformats.org/officeDocument/2006/relationships/hyperlink" Target="https://workdrive.zohopublic.in/folder/qusyg45cc9c0a7f1a4996861412a871761af2" TargetMode="External"/><Relationship Id="rId20" Type="http://schemas.openxmlformats.org/officeDocument/2006/relationships/hyperlink" Target="https://workdrive.zohopublic.in/file/qusyg642a72db472d4e8698e28b1905b3feb9" TargetMode="External"/><Relationship Id="rId29" Type="http://schemas.openxmlformats.org/officeDocument/2006/relationships/hyperlink" Target="https://workdrive.zoho.in/folder/qusyg900b96820f8541f7a88858f84327bc25" TargetMode="External"/><Relationship Id="rId41" Type="http://schemas.openxmlformats.org/officeDocument/2006/relationships/hyperlink" Target="https://workdrive.zoho.in/file/9n8pme139f7a209174f99be937f7b9efeadab" TargetMode="External"/><Relationship Id="rId1" Type="http://schemas.openxmlformats.org/officeDocument/2006/relationships/printerSettings" Target="../printerSettings/printerSettings9.bin"/><Relationship Id="rId6" Type="http://schemas.openxmlformats.org/officeDocument/2006/relationships/hyperlink" Target="https://workdrive.zohopublic.in/folder/qusyg6bc881e93bf64c47b9bfa41fda55c47d" TargetMode="External"/><Relationship Id="rId11" Type="http://schemas.openxmlformats.org/officeDocument/2006/relationships/hyperlink" Target="https://workdrive.zohopublic.in/folder/qusyg4bf61df199ba4b9b969bebf50cf38fa1" TargetMode="External"/><Relationship Id="rId24" Type="http://schemas.openxmlformats.org/officeDocument/2006/relationships/hyperlink" Target="https://workdrive.zohopublic.in/file/lmporc2be66ce1ba64904870d925c8e7c8bb4" TargetMode="External"/><Relationship Id="rId32" Type="http://schemas.openxmlformats.org/officeDocument/2006/relationships/hyperlink" Target="https://workdrive.zohopublic.in/file/gaqr1243e6dc63f164ecfa9ad8f2e728ce767" TargetMode="External"/><Relationship Id="rId37" Type="http://schemas.openxmlformats.org/officeDocument/2006/relationships/hyperlink" Target="https://workdrive.zoho.in/folder/9n8pm1b22dd19b6104c75b83c7b6e42294180" TargetMode="External"/><Relationship Id="rId40" Type="http://schemas.openxmlformats.org/officeDocument/2006/relationships/hyperlink" Target="https://workdrive.zoho.in/file/9n8pme7d889243a88419784a608e0bdc8a8e8" TargetMode="External"/><Relationship Id="rId45" Type="http://schemas.openxmlformats.org/officeDocument/2006/relationships/table" Target="../tables/table6.xml"/><Relationship Id="rId5" Type="http://schemas.openxmlformats.org/officeDocument/2006/relationships/hyperlink" Target="https://workdrive.zohopublic.in/folder/qusygc0a5bcabeab74f038154b1f66ca51c44" TargetMode="External"/><Relationship Id="rId15" Type="http://schemas.openxmlformats.org/officeDocument/2006/relationships/hyperlink" Target="https://workdrive.zohopublic.in/folder/qusyga03a7bf3afbe4728b6742401f18f1e45" TargetMode="External"/><Relationship Id="rId23" Type="http://schemas.openxmlformats.org/officeDocument/2006/relationships/hyperlink" Target="https://workdrive.zohopublic.in/file/qusyg4a5b0afc191a4e4fa2e4a86b437c4c1d" TargetMode="External"/><Relationship Id="rId28" Type="http://schemas.openxmlformats.org/officeDocument/2006/relationships/hyperlink" Target="https://workdrive.zohopublic.in/file/d7kd53d6cbc548aae4111b0eaf016cef19a9a" TargetMode="External"/><Relationship Id="rId36" Type="http://schemas.openxmlformats.org/officeDocument/2006/relationships/hyperlink" Target="https://nandinfrastructure.com/team/narendrasinh-jilubha-gohil/" TargetMode="External"/><Relationship Id="rId10" Type="http://schemas.openxmlformats.org/officeDocument/2006/relationships/hyperlink" Target="https://workdrive.zohopublic.in/folder/qusyg24934f08b81849979cb4485b702efcd3" TargetMode="External"/><Relationship Id="rId19" Type="http://schemas.openxmlformats.org/officeDocument/2006/relationships/hyperlink" Target="https://workdrive.zohopublic.in/folder/qusyg680d185fd3d340fc8cfb74bfd64f18e0" TargetMode="External"/><Relationship Id="rId31" Type="http://schemas.openxmlformats.org/officeDocument/2006/relationships/hyperlink" Target="https://workdrive.zohopublic.in/file/gaqr14ca98be02fab4810aa2b354f45ff7411" TargetMode="External"/><Relationship Id="rId44" Type="http://schemas.openxmlformats.org/officeDocument/2006/relationships/printerSettings" Target="../printerSettings/printerSettings10.bin"/><Relationship Id="rId4" Type="http://schemas.openxmlformats.org/officeDocument/2006/relationships/hyperlink" Target="https://workdrive.zohopublic.in/folder/qusyge94dbb6e64a34b85be254ea01f70542b" TargetMode="External"/><Relationship Id="rId9" Type="http://schemas.openxmlformats.org/officeDocument/2006/relationships/hyperlink" Target="https://workdrive.zohopublic.in/folder/qusyg25cecd5e3d374bbfa34ca2ac31256c72" TargetMode="External"/><Relationship Id="rId14" Type="http://schemas.openxmlformats.org/officeDocument/2006/relationships/hyperlink" Target="https://workdrive.zohopublic.in/folder/qusyg675100a82a8e4df3b4b9519ee7ad6d9c" TargetMode="External"/><Relationship Id="rId22" Type="http://schemas.openxmlformats.org/officeDocument/2006/relationships/hyperlink" Target="https://workdrive.zohopublic.in/file/qusyg939e03238ba14a8197ae55a120e33105" TargetMode="External"/><Relationship Id="rId27" Type="http://schemas.openxmlformats.org/officeDocument/2006/relationships/hyperlink" Target="https://workdrive.zohopublic.in/file/d7kd5f4382a73e7f445ff9d3f4c39b92ec0e1" TargetMode="External"/><Relationship Id="rId30" Type="http://schemas.openxmlformats.org/officeDocument/2006/relationships/hyperlink" Target="https://workdrive.zohopublic.in/folder/zz7163ec09da5685d4f0e96abf4a2fcd92198" TargetMode="External"/><Relationship Id="rId35" Type="http://schemas.openxmlformats.org/officeDocument/2006/relationships/hyperlink" Target="https://workdrive.zohopublic.in/file/idymte91df033385e453b815cc25785446c7b" TargetMode="External"/><Relationship Id="rId43" Type="http://schemas.openxmlformats.org/officeDocument/2006/relationships/hyperlink" Target="https://workdrive.zoho.in/folder/9n8pmbaf179fad16b4269ab61f387e5d043be"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workdrive.zohopublic.in/folder/qusyge94dbb6e64a34b85be254ea01f70542b" TargetMode="External"/><Relationship Id="rId7" Type="http://schemas.openxmlformats.org/officeDocument/2006/relationships/printerSettings" Target="../printerSettings/printerSettings11.bin"/><Relationship Id="rId2" Type="http://schemas.openxmlformats.org/officeDocument/2006/relationships/hyperlink" Target="https://workdrive.zohopublic.in/folder/qusyg203a4fbf3a73483585f5cf5f9a94ed10" TargetMode="External"/><Relationship Id="rId1" Type="http://schemas.openxmlformats.org/officeDocument/2006/relationships/hyperlink" Target="https://workdrive.zohopublic.in/folder/qusyg925f04aaf23244dbaea58d4de460ed34" TargetMode="External"/><Relationship Id="rId6" Type="http://schemas.openxmlformats.org/officeDocument/2006/relationships/hyperlink" Target="https://workdrive.zohopublic.in/file/9n8pme1d7190aa2eb4e958e48cb6f1de0db01" TargetMode="External"/><Relationship Id="rId5" Type="http://schemas.openxmlformats.org/officeDocument/2006/relationships/hyperlink" Target="https://feniciaresort.com/" TargetMode="External"/><Relationship Id="rId4" Type="http://schemas.openxmlformats.org/officeDocument/2006/relationships/hyperlink" Target="https://workdrive.zohopublic.in/folder/qusyg40f9e4c94d5c49939c9c1f652529d9b5" TargetMode="Externa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workdrive.zohopublic.in/folder/qusyge9fca32670204053b0cacb3142045e1b" TargetMode="External"/><Relationship Id="rId7" Type="http://schemas.openxmlformats.org/officeDocument/2006/relationships/hyperlink" Target="https://workdrive.zohopublic.in/folder/9n8pm75a3fb3aead6409890de1a9e584a4eb3" TargetMode="External"/><Relationship Id="rId2" Type="http://schemas.openxmlformats.org/officeDocument/2006/relationships/hyperlink" Target="https://workdrive.zohopublic.in/file/qusygef1af613a2e24b3caa9b463608386761" TargetMode="External"/><Relationship Id="rId1" Type="http://schemas.openxmlformats.org/officeDocument/2006/relationships/printerSettings" Target="../printerSettings/printerSettings12.bin"/><Relationship Id="rId6" Type="http://schemas.openxmlformats.org/officeDocument/2006/relationships/hyperlink" Target="https://workdrive.zohopublic.in/folder/d7kd5713c23bfdb3e459da9af1ee1be994380" TargetMode="External"/><Relationship Id="rId5" Type="http://schemas.openxmlformats.org/officeDocument/2006/relationships/hyperlink" Target="https://www.idadubai.com/" TargetMode="External"/><Relationship Id="rId4" Type="http://schemas.openxmlformats.org/officeDocument/2006/relationships/hyperlink" Target="https://workdrive.zohopublic.in/folder/qusygb9d0610e40194ab19206964358aa0eac" TargetMode="Externa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zoomScale="70" zoomScaleNormal="70" workbookViewId="0">
      <selection activeCell="E6" sqref="E6"/>
    </sheetView>
  </sheetViews>
  <sheetFormatPr defaultColWidth="9.140625" defaultRowHeight="20.25" x14ac:dyDescent="0.3"/>
  <cols>
    <col min="1" max="1" width="11.28515625" style="12" customWidth="1"/>
    <col min="2" max="2" width="53" style="11" customWidth="1"/>
    <col min="3" max="3" width="82.42578125" style="11" customWidth="1"/>
    <col min="4" max="4" width="16.5703125" style="11" customWidth="1"/>
    <col min="5" max="5" width="21.42578125" style="11" customWidth="1"/>
    <col min="6" max="6" width="255.5703125" style="11" customWidth="1"/>
    <col min="7" max="16384" width="9.140625" style="11"/>
  </cols>
  <sheetData>
    <row r="1" spans="1:19" ht="39" customHeight="1" x14ac:dyDescent="0.3">
      <c r="A1" s="127" t="s">
        <v>72</v>
      </c>
      <c r="B1" s="127"/>
      <c r="C1" s="127"/>
      <c r="D1" s="127"/>
      <c r="E1" s="127"/>
      <c r="F1" s="129"/>
    </row>
    <row r="2" spans="1:19" s="12" customFormat="1" ht="30" customHeight="1" x14ac:dyDescent="0.3">
      <c r="A2" s="15" t="s">
        <v>71</v>
      </c>
      <c r="B2" s="15" t="s">
        <v>70</v>
      </c>
      <c r="C2" s="15" t="s">
        <v>69</v>
      </c>
      <c r="D2" s="15" t="s">
        <v>68</v>
      </c>
      <c r="E2" s="15" t="s">
        <v>67</v>
      </c>
      <c r="F2" s="129"/>
      <c r="G2" s="11"/>
      <c r="H2" s="11"/>
      <c r="I2" s="11"/>
      <c r="J2" s="11"/>
      <c r="K2" s="11"/>
      <c r="L2" s="11"/>
      <c r="M2" s="11"/>
      <c r="N2" s="11"/>
      <c r="O2" s="11"/>
      <c r="P2" s="11"/>
      <c r="Q2" s="11"/>
      <c r="R2" s="11"/>
      <c r="S2" s="11"/>
    </row>
    <row r="3" spans="1:19" s="12" customFormat="1" ht="40.5" customHeight="1" x14ac:dyDescent="0.3">
      <c r="A3" s="120">
        <v>1</v>
      </c>
      <c r="B3" s="112" t="s">
        <v>352</v>
      </c>
      <c r="C3" s="116" t="s">
        <v>282</v>
      </c>
      <c r="D3" s="112">
        <f>'1. Additional'!A4</f>
        <v>1</v>
      </c>
      <c r="E3" s="112">
        <f>Table811[[#This Row],[NO. OF KEYS]]</f>
        <v>20</v>
      </c>
      <c r="F3" s="129"/>
      <c r="G3" s="11"/>
      <c r="H3" s="11"/>
      <c r="I3" s="11"/>
      <c r="J3" s="11"/>
      <c r="K3" s="11"/>
      <c r="L3" s="11"/>
      <c r="M3" s="11"/>
      <c r="N3" s="11"/>
      <c r="O3" s="11"/>
      <c r="P3" s="11"/>
      <c r="Q3" s="11"/>
      <c r="R3" s="11"/>
      <c r="S3" s="11"/>
    </row>
    <row r="4" spans="1:19" ht="60" customHeight="1" x14ac:dyDescent="0.3">
      <c r="A4" s="120">
        <v>2</v>
      </c>
      <c r="B4" s="15" t="s">
        <v>237</v>
      </c>
      <c r="C4" s="26" t="s">
        <v>353</v>
      </c>
      <c r="D4" s="15">
        <f>'2. North projects'!A10</f>
        <v>6</v>
      </c>
      <c r="E4" s="15">
        <f>'2. North projects'!G10</f>
        <v>512</v>
      </c>
      <c r="F4" s="129"/>
    </row>
    <row r="5" spans="1:19" ht="60" customHeight="1" x14ac:dyDescent="0.3">
      <c r="A5" s="120">
        <v>3</v>
      </c>
      <c r="B5" s="15" t="s">
        <v>66</v>
      </c>
      <c r="C5" s="26" t="s">
        <v>357</v>
      </c>
      <c r="D5" s="15">
        <f>'3. Mr.Ajith Kumar'!A8</f>
        <v>5</v>
      </c>
      <c r="E5" s="15">
        <f>'3. Mr.Ajith Kumar'!G8</f>
        <v>423</v>
      </c>
      <c r="F5" s="129"/>
    </row>
    <row r="6" spans="1:19" ht="60" customHeight="1" x14ac:dyDescent="0.3">
      <c r="A6" s="120">
        <v>4</v>
      </c>
      <c r="B6" s="15" t="s">
        <v>238</v>
      </c>
      <c r="C6" s="26" t="s">
        <v>328</v>
      </c>
      <c r="D6" s="15">
        <f>'4. Mr. Kunal'!A7</f>
        <v>4</v>
      </c>
      <c r="E6" s="15">
        <f>'4. Mr. Kunal'!H7</f>
        <v>204</v>
      </c>
      <c r="F6" s="129"/>
    </row>
    <row r="7" spans="1:19" ht="60" customHeight="1" x14ac:dyDescent="0.3">
      <c r="A7" s="120">
        <v>5</v>
      </c>
      <c r="B7" s="15" t="s">
        <v>65</v>
      </c>
      <c r="C7" s="26" t="s">
        <v>356</v>
      </c>
      <c r="D7" s="15">
        <f>'5. Mr. Vikas passi'!A16</f>
        <v>13</v>
      </c>
      <c r="E7" s="15">
        <f>'5. Mr. Vikas passi'!G16</f>
        <v>809</v>
      </c>
      <c r="F7" s="129"/>
    </row>
    <row r="8" spans="1:19" ht="60" customHeight="1" x14ac:dyDescent="0.3">
      <c r="A8" s="120">
        <v>6</v>
      </c>
      <c r="B8" s="15" t="s">
        <v>64</v>
      </c>
      <c r="C8" s="26" t="s">
        <v>354</v>
      </c>
      <c r="D8" s="15">
        <f>'6. Mr. Shivam verma'!A5</f>
        <v>2</v>
      </c>
      <c r="E8" s="15">
        <f>'6. Mr. Shivam verma'!G5</f>
        <v>257</v>
      </c>
      <c r="F8" s="129"/>
    </row>
    <row r="9" spans="1:19" ht="60" customHeight="1" x14ac:dyDescent="0.3">
      <c r="A9" s="120">
        <v>7</v>
      </c>
      <c r="B9" s="15" t="s">
        <v>63</v>
      </c>
      <c r="C9" s="26" t="s">
        <v>355</v>
      </c>
      <c r="D9" s="15">
        <f>'7. Mr. Sarvanan '!A5</f>
        <v>2</v>
      </c>
      <c r="E9" s="15">
        <f>'7. Mr. Sarvanan '!G5</f>
        <v>91</v>
      </c>
      <c r="F9" s="129"/>
    </row>
    <row r="10" spans="1:19" ht="36" customHeight="1" x14ac:dyDescent="0.3">
      <c r="A10" s="112"/>
      <c r="B10" s="113"/>
      <c r="C10" s="112" t="s">
        <v>62</v>
      </c>
      <c r="D10" s="112">
        <f>SUM(D4:D9)</f>
        <v>32</v>
      </c>
      <c r="E10" s="112">
        <f>SUM(E4:E9)</f>
        <v>2296</v>
      </c>
      <c r="F10" s="129"/>
    </row>
    <row r="11" spans="1:19" ht="408.75" customHeight="1" x14ac:dyDescent="0.3">
      <c r="A11" s="128"/>
      <c r="B11" s="128"/>
      <c r="C11" s="128"/>
      <c r="D11" s="128"/>
      <c r="E11" s="128"/>
      <c r="F11" s="128"/>
    </row>
    <row r="12" spans="1:19" x14ac:dyDescent="0.3">
      <c r="A12" s="103"/>
      <c r="B12" s="103"/>
      <c r="C12" s="103"/>
      <c r="D12" s="103"/>
      <c r="E12" s="103"/>
    </row>
    <row r="13" spans="1:19" x14ac:dyDescent="0.3">
      <c r="A13" s="103"/>
      <c r="B13" s="103"/>
      <c r="C13" s="103"/>
      <c r="D13" s="103"/>
      <c r="E13" s="103"/>
    </row>
  </sheetData>
  <mergeCells count="3">
    <mergeCell ref="A1:E1"/>
    <mergeCell ref="A11:F11"/>
    <mergeCell ref="F1:F10"/>
  </mergeCells>
  <pageMargins left="0.7" right="0.7" top="0.75" bottom="0.75" header="0.3" footer="0.3"/>
  <pageSetup paperSize="8" scale="62"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5"/>
  <sheetViews>
    <sheetView zoomScale="70" zoomScaleNormal="70" workbookViewId="0">
      <selection activeCell="G31" sqref="G31"/>
    </sheetView>
  </sheetViews>
  <sheetFormatPr defaultColWidth="15.7109375" defaultRowHeight="15" x14ac:dyDescent="0.25"/>
  <cols>
    <col min="1" max="1" width="6.28515625" customWidth="1"/>
    <col min="2" max="2" width="19.5703125" customWidth="1"/>
    <col min="4" max="5" width="24.42578125" customWidth="1"/>
    <col min="6" max="6" width="21.85546875" customWidth="1"/>
    <col min="7" max="7" width="16.42578125" customWidth="1"/>
    <col min="8" max="8" width="18.7109375" customWidth="1"/>
    <col min="9" max="9" width="22.42578125" customWidth="1"/>
    <col min="10" max="10" width="29" customWidth="1"/>
    <col min="11" max="11" width="37.28515625" bestFit="1" customWidth="1"/>
    <col min="12" max="12" width="30.42578125" customWidth="1"/>
    <col min="13" max="13" width="22.140625" customWidth="1"/>
    <col min="14" max="14" width="28.42578125" customWidth="1"/>
    <col min="15" max="15" width="26.42578125" customWidth="1"/>
    <col min="16" max="16" width="35.7109375" customWidth="1"/>
    <col min="17" max="17" width="64.28515625" customWidth="1"/>
    <col min="18" max="18" width="33.5703125" hidden="1" customWidth="1"/>
    <col min="19" max="19" width="34" hidden="1" customWidth="1"/>
    <col min="20" max="20" width="21.5703125" hidden="1" customWidth="1"/>
    <col min="21" max="24" width="18.140625" customWidth="1"/>
  </cols>
  <sheetData>
    <row r="1" spans="1:56" ht="60" customHeight="1" x14ac:dyDescent="0.25">
      <c r="A1" s="130" t="s">
        <v>329</v>
      </c>
      <c r="B1" s="130"/>
      <c r="C1" s="130"/>
      <c r="D1" s="130"/>
      <c r="E1" s="130"/>
      <c r="F1" s="130"/>
      <c r="G1" s="130"/>
      <c r="H1" s="130"/>
      <c r="I1" s="130"/>
      <c r="J1" s="130"/>
      <c r="K1" s="130"/>
      <c r="L1" s="130"/>
      <c r="M1" s="130"/>
      <c r="N1" s="130"/>
      <c r="O1" s="130"/>
      <c r="P1" s="130"/>
      <c r="Q1" s="130"/>
      <c r="R1" s="130"/>
      <c r="S1" s="130"/>
      <c r="T1" s="130"/>
    </row>
    <row r="2" spans="1:56" s="7" customFormat="1" ht="60" customHeight="1" x14ac:dyDescent="0.25">
      <c r="A2" s="16" t="s">
        <v>0</v>
      </c>
      <c r="B2" s="16" t="s">
        <v>1</v>
      </c>
      <c r="C2" s="16" t="s">
        <v>53</v>
      </c>
      <c r="D2" s="16" t="s">
        <v>230</v>
      </c>
      <c r="E2" s="16" t="s">
        <v>231</v>
      </c>
      <c r="F2" s="16" t="s">
        <v>4</v>
      </c>
      <c r="G2" s="16" t="s">
        <v>2</v>
      </c>
      <c r="H2" s="16" t="s">
        <v>77</v>
      </c>
      <c r="I2" s="16" t="s">
        <v>5</v>
      </c>
      <c r="J2" s="16" t="s">
        <v>43</v>
      </c>
      <c r="K2" s="16" t="s">
        <v>75</v>
      </c>
      <c r="L2" s="16" t="s">
        <v>41</v>
      </c>
      <c r="M2" s="16" t="s">
        <v>38</v>
      </c>
      <c r="N2" s="16" t="s">
        <v>42</v>
      </c>
      <c r="O2" s="16" t="s">
        <v>40</v>
      </c>
      <c r="P2" s="16" t="s">
        <v>39</v>
      </c>
      <c r="Q2" s="22" t="s">
        <v>130</v>
      </c>
      <c r="R2" s="22" t="s">
        <v>145</v>
      </c>
      <c r="S2" s="22" t="s">
        <v>213</v>
      </c>
      <c r="T2" s="22" t="s">
        <v>129</v>
      </c>
      <c r="U2" s="5"/>
      <c r="V2" s="5"/>
      <c r="W2" s="5"/>
      <c r="X2" s="5"/>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row>
    <row r="3" spans="1:56" ht="60" customHeight="1" x14ac:dyDescent="0.25">
      <c r="A3" s="16">
        <v>1</v>
      </c>
      <c r="B3" s="16" t="s">
        <v>282</v>
      </c>
      <c r="C3" s="16" t="s">
        <v>36</v>
      </c>
      <c r="D3" s="16" t="s">
        <v>305</v>
      </c>
      <c r="E3" s="16"/>
      <c r="F3" s="16"/>
      <c r="G3" s="16">
        <v>20</v>
      </c>
      <c r="H3" s="17"/>
      <c r="I3" s="16"/>
      <c r="J3" s="77"/>
      <c r="K3" s="16"/>
      <c r="L3" s="16"/>
      <c r="M3" s="16"/>
      <c r="N3" s="25"/>
      <c r="P3" s="79" t="s">
        <v>349</v>
      </c>
      <c r="Q3" s="25"/>
      <c r="R3" s="24"/>
      <c r="S3" s="24"/>
      <c r="T3" s="78"/>
    </row>
    <row r="4" spans="1:56" ht="60" customHeight="1" x14ac:dyDescent="0.25">
      <c r="A4" s="56">
        <f>COUNT(A3:A3)</f>
        <v>1</v>
      </c>
      <c r="B4" s="56"/>
      <c r="C4" s="56"/>
      <c r="D4" s="56"/>
      <c r="E4" s="56"/>
      <c r="F4" s="16" t="s">
        <v>104</v>
      </c>
      <c r="G4" s="16">
        <f>SUM(G3)</f>
        <v>20</v>
      </c>
      <c r="H4" s="74"/>
      <c r="I4" s="56"/>
      <c r="J4" s="56"/>
      <c r="K4" s="56"/>
      <c r="L4" s="56"/>
      <c r="M4" s="56"/>
      <c r="N4" s="56"/>
      <c r="O4" s="56"/>
      <c r="P4" s="56"/>
      <c r="Q4" s="56"/>
      <c r="R4" s="56"/>
      <c r="S4" s="56"/>
      <c r="T4" s="56"/>
    </row>
    <row r="5" spans="1:56" ht="60" customHeight="1" x14ac:dyDescent="0.25">
      <c r="F5" s="23"/>
      <c r="G5" s="23"/>
      <c r="H5" s="44"/>
    </row>
  </sheetData>
  <mergeCells count="1">
    <mergeCell ref="A1:T1"/>
  </mergeCells>
  <hyperlinks>
    <hyperlink ref="P3" r:id="rId1" xr:uid="{00000000-0004-0000-0100-000000000000}"/>
  </hyperlinks>
  <pageMargins left="0.7" right="0.7" top="0.75" bottom="0.75" header="0.3" footer="0.3"/>
  <pageSetup paperSize="8" scale="30"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1"/>
  <sheetViews>
    <sheetView zoomScale="70" zoomScaleNormal="70" workbookViewId="0">
      <selection activeCell="K10" sqref="K10"/>
    </sheetView>
  </sheetViews>
  <sheetFormatPr defaultColWidth="15.7109375" defaultRowHeight="15" customHeight="1" x14ac:dyDescent="0.25"/>
  <cols>
    <col min="1" max="1" width="10.5703125" style="45" customWidth="1"/>
    <col min="2" max="2" width="22.28515625" style="45" customWidth="1"/>
    <col min="3" max="3" width="22.7109375" style="45" customWidth="1"/>
    <col min="4" max="4" width="27.42578125" style="45" customWidth="1"/>
    <col min="5" max="5" width="32" style="45" customWidth="1"/>
    <col min="6" max="6" width="31.140625" style="45" bestFit="1" customWidth="1"/>
    <col min="7" max="8" width="16.42578125" style="45" customWidth="1"/>
    <col min="9" max="9" width="42.85546875" style="45" customWidth="1"/>
    <col min="10" max="10" width="21.7109375" style="45" customWidth="1"/>
    <col min="11" max="11" width="38.28515625" style="45" customWidth="1"/>
    <col min="12" max="12" width="29" style="45" customWidth="1"/>
    <col min="13" max="13" width="24.42578125" style="45" customWidth="1"/>
    <col min="14" max="14" width="27.28515625" style="45" customWidth="1"/>
    <col min="15" max="15" width="25.5703125" style="45" customWidth="1"/>
    <col min="16" max="16" width="43.42578125" style="45" customWidth="1"/>
    <col min="17" max="17" width="115.28515625" style="45" customWidth="1"/>
    <col min="18" max="18" width="35.28515625" style="45" hidden="1" customWidth="1"/>
    <col min="19" max="19" width="46.140625" style="45" hidden="1" customWidth="1"/>
    <col min="20" max="20" width="0.42578125" style="45" hidden="1" customWidth="1"/>
    <col min="21" max="21" width="0" style="45" hidden="1" customWidth="1"/>
    <col min="22" max="16384" width="15.7109375" style="45"/>
  </cols>
  <sheetData>
    <row r="1" spans="1:21" s="64" customFormat="1" ht="60" customHeight="1" x14ac:dyDescent="0.25">
      <c r="A1" s="131" t="s">
        <v>237</v>
      </c>
      <c r="B1" s="131"/>
      <c r="C1" s="131"/>
      <c r="D1" s="131"/>
      <c r="E1" s="131"/>
      <c r="F1" s="131"/>
      <c r="G1" s="131"/>
      <c r="H1" s="131"/>
      <c r="I1" s="131"/>
      <c r="J1" s="131"/>
      <c r="K1" s="131"/>
      <c r="L1" s="131"/>
      <c r="M1" s="131"/>
      <c r="N1" s="131"/>
      <c r="O1" s="131"/>
      <c r="P1" s="131"/>
      <c r="Q1" s="131"/>
      <c r="R1" s="62"/>
      <c r="S1" s="62"/>
      <c r="T1" s="62"/>
    </row>
    <row r="2" spans="1:21" s="81" customFormat="1" ht="60" customHeight="1" x14ac:dyDescent="0.25">
      <c r="A2" s="80" t="s">
        <v>105</v>
      </c>
      <c r="B2" s="80" t="s">
        <v>1</v>
      </c>
      <c r="C2" s="80" t="s">
        <v>53</v>
      </c>
      <c r="D2" s="80" t="s">
        <v>112</v>
      </c>
      <c r="E2" s="80" t="s">
        <v>113</v>
      </c>
      <c r="F2" s="80" t="s">
        <v>4</v>
      </c>
      <c r="G2" s="80" t="s">
        <v>2</v>
      </c>
      <c r="H2" s="80" t="s">
        <v>76</v>
      </c>
      <c r="I2" s="80" t="s">
        <v>5</v>
      </c>
      <c r="J2" s="80" t="s">
        <v>43</v>
      </c>
      <c r="K2" s="80" t="s">
        <v>75</v>
      </c>
      <c r="L2" s="80" t="s">
        <v>41</v>
      </c>
      <c r="M2" s="80" t="s">
        <v>38</v>
      </c>
      <c r="N2" s="80" t="s">
        <v>42</v>
      </c>
      <c r="O2" s="80" t="s">
        <v>40</v>
      </c>
      <c r="P2" s="80" t="s">
        <v>39</v>
      </c>
      <c r="Q2" s="80" t="s">
        <v>310</v>
      </c>
      <c r="R2" s="80" t="s">
        <v>145</v>
      </c>
      <c r="S2" s="80" t="s">
        <v>131</v>
      </c>
      <c r="T2" s="80" t="s">
        <v>115</v>
      </c>
      <c r="U2" s="99" t="s">
        <v>304</v>
      </c>
    </row>
    <row r="3" spans="1:21" s="64" customFormat="1" ht="72" x14ac:dyDescent="0.25">
      <c r="A3" s="16">
        <v>1</v>
      </c>
      <c r="B3" s="16" t="s">
        <v>35</v>
      </c>
      <c r="C3" s="16" t="s">
        <v>73</v>
      </c>
      <c r="D3" s="16" t="s">
        <v>111</v>
      </c>
      <c r="E3" s="16" t="s">
        <v>132</v>
      </c>
      <c r="F3" s="16">
        <v>9910038697</v>
      </c>
      <c r="G3" s="16">
        <v>128</v>
      </c>
      <c r="H3" s="17">
        <v>46143</v>
      </c>
      <c r="I3" s="22" t="s">
        <v>114</v>
      </c>
      <c r="J3" s="10" t="s">
        <v>133</v>
      </c>
      <c r="K3" s="16">
        <v>9871237816</v>
      </c>
      <c r="L3" s="10" t="s">
        <v>139</v>
      </c>
      <c r="O3" s="10" t="s">
        <v>269</v>
      </c>
      <c r="P3" s="101" t="s">
        <v>303</v>
      </c>
      <c r="Q3" s="104" t="s">
        <v>324</v>
      </c>
      <c r="R3" s="26" t="s">
        <v>147</v>
      </c>
      <c r="S3" s="25" t="s">
        <v>153</v>
      </c>
      <c r="T3" s="25">
        <v>9717127878</v>
      </c>
      <c r="U3" s="98"/>
    </row>
    <row r="4" spans="1:21" s="64" customFormat="1" ht="60" customHeight="1" x14ac:dyDescent="0.25">
      <c r="A4" s="16">
        <v>2</v>
      </c>
      <c r="B4" s="46" t="s">
        <v>233</v>
      </c>
      <c r="C4" s="46" t="s">
        <v>73</v>
      </c>
      <c r="D4" s="16" t="s">
        <v>92</v>
      </c>
      <c r="E4" s="16" t="s">
        <v>244</v>
      </c>
      <c r="F4" s="46">
        <v>9215228328</v>
      </c>
      <c r="G4" s="46">
        <v>36</v>
      </c>
      <c r="H4" s="17">
        <v>46023</v>
      </c>
      <c r="I4" s="16" t="s">
        <v>245</v>
      </c>
      <c r="J4" s="46"/>
      <c r="K4" s="46">
        <v>9816800688</v>
      </c>
      <c r="L4" s="46"/>
      <c r="M4" s="39" t="s">
        <v>291</v>
      </c>
      <c r="N4" s="39" t="s">
        <v>306</v>
      </c>
      <c r="O4" s="16" t="s">
        <v>74</v>
      </c>
      <c r="P4" s="39" t="s">
        <v>334</v>
      </c>
      <c r="Q4" s="104" t="s">
        <v>311</v>
      </c>
      <c r="R4" s="47"/>
      <c r="S4" s="46"/>
      <c r="T4" s="46"/>
      <c r="U4" s="98"/>
    </row>
    <row r="5" spans="1:21" s="64" customFormat="1" ht="60" customHeight="1" x14ac:dyDescent="0.25">
      <c r="A5" s="16">
        <v>3</v>
      </c>
      <c r="B5" s="16" t="s">
        <v>106</v>
      </c>
      <c r="C5" s="16" t="s">
        <v>109</v>
      </c>
      <c r="D5" s="16" t="s">
        <v>86</v>
      </c>
      <c r="E5" s="16" t="s">
        <v>51</v>
      </c>
      <c r="F5" s="16">
        <v>9105610497</v>
      </c>
      <c r="G5" s="16">
        <v>45</v>
      </c>
      <c r="H5" s="17">
        <f>DATE(2026,3,25)</f>
        <v>46106</v>
      </c>
      <c r="I5" s="16" t="s">
        <v>246</v>
      </c>
      <c r="J5" s="63" t="s">
        <v>252</v>
      </c>
      <c r="K5" s="30">
        <v>9811766887</v>
      </c>
      <c r="L5" s="10" t="s">
        <v>326</v>
      </c>
      <c r="M5" s="10" t="s">
        <v>142</v>
      </c>
      <c r="N5" s="10" t="s">
        <v>308</v>
      </c>
      <c r="O5" s="64" t="s">
        <v>74</v>
      </c>
      <c r="P5" s="27" t="s">
        <v>150</v>
      </c>
      <c r="Q5" s="104" t="s">
        <v>312</v>
      </c>
      <c r="R5" s="26" t="s">
        <v>146</v>
      </c>
      <c r="S5" s="24"/>
      <c r="T5" s="24"/>
      <c r="U5" s="98"/>
    </row>
    <row r="6" spans="1:21" s="64" customFormat="1" ht="60" customHeight="1" x14ac:dyDescent="0.25">
      <c r="A6" s="16">
        <v>4</v>
      </c>
      <c r="B6" s="16" t="s">
        <v>107</v>
      </c>
      <c r="C6" s="16" t="s">
        <v>110</v>
      </c>
      <c r="D6" s="16" t="s">
        <v>58</v>
      </c>
      <c r="E6" s="16" t="s">
        <v>50</v>
      </c>
      <c r="F6" s="16">
        <v>9899522393</v>
      </c>
      <c r="G6" s="16">
        <v>190</v>
      </c>
      <c r="H6" s="17">
        <v>46357</v>
      </c>
      <c r="I6" s="16" t="s">
        <v>136</v>
      </c>
      <c r="J6" s="10" t="s">
        <v>134</v>
      </c>
      <c r="K6" s="16" t="s">
        <v>137</v>
      </c>
      <c r="L6" s="10" t="s">
        <v>140</v>
      </c>
      <c r="M6" s="10" t="s">
        <v>143</v>
      </c>
      <c r="N6" s="10" t="s">
        <v>289</v>
      </c>
      <c r="O6" s="64" t="s">
        <v>74</v>
      </c>
      <c r="P6" s="27" t="s">
        <v>151</v>
      </c>
      <c r="Q6" s="104" t="s">
        <v>265</v>
      </c>
      <c r="R6" s="26" t="s">
        <v>148</v>
      </c>
      <c r="S6" s="24"/>
      <c r="T6" s="24"/>
      <c r="U6" s="98"/>
    </row>
    <row r="7" spans="1:21" s="64" customFormat="1" ht="60" customHeight="1" x14ac:dyDescent="0.25">
      <c r="A7" s="16">
        <v>5</v>
      </c>
      <c r="B7" s="16" t="s">
        <v>108</v>
      </c>
      <c r="C7" s="16" t="s">
        <v>109</v>
      </c>
      <c r="D7" s="16" t="s">
        <v>58</v>
      </c>
      <c r="E7" s="16" t="s">
        <v>154</v>
      </c>
      <c r="F7" s="16">
        <v>9899750505</v>
      </c>
      <c r="G7" s="16">
        <v>70</v>
      </c>
      <c r="H7" s="17">
        <v>46296</v>
      </c>
      <c r="I7" s="16" t="s">
        <v>138</v>
      </c>
      <c r="J7" s="10" t="s">
        <v>135</v>
      </c>
      <c r="K7" s="16">
        <v>9868087509</v>
      </c>
      <c r="L7" s="10" t="s">
        <v>141</v>
      </c>
      <c r="M7" s="10" t="s">
        <v>144</v>
      </c>
      <c r="N7" s="63" t="s">
        <v>255</v>
      </c>
      <c r="O7" s="64" t="s">
        <v>74</v>
      </c>
      <c r="P7" s="27" t="s">
        <v>152</v>
      </c>
      <c r="Q7" s="104" t="s">
        <v>325</v>
      </c>
      <c r="R7" s="26" t="s">
        <v>149</v>
      </c>
      <c r="S7" s="24"/>
      <c r="T7" s="24"/>
      <c r="U7" s="98"/>
    </row>
    <row r="8" spans="1:21" ht="60" customHeight="1" x14ac:dyDescent="0.25">
      <c r="A8" s="114">
        <v>6</v>
      </c>
      <c r="B8" s="114" t="s">
        <v>335</v>
      </c>
      <c r="C8" s="114" t="s">
        <v>336</v>
      </c>
      <c r="D8" s="114" t="s">
        <v>86</v>
      </c>
      <c r="E8" s="114" t="s">
        <v>360</v>
      </c>
      <c r="F8" s="114" t="s">
        <v>361</v>
      </c>
      <c r="G8" s="114">
        <v>43</v>
      </c>
      <c r="H8" s="114" t="s">
        <v>61</v>
      </c>
      <c r="I8" s="114"/>
      <c r="J8" s="114"/>
      <c r="K8" s="114"/>
      <c r="L8" s="114"/>
      <c r="M8" s="114"/>
      <c r="N8" s="39" t="s">
        <v>359</v>
      </c>
      <c r="O8" s="114"/>
      <c r="P8" s="39" t="s">
        <v>358</v>
      </c>
      <c r="Q8" s="115" t="s">
        <v>363</v>
      </c>
      <c r="R8" s="116"/>
      <c r="S8" s="114"/>
      <c r="T8" s="117"/>
      <c r="U8" s="118"/>
    </row>
    <row r="9" spans="1:21" ht="60" customHeight="1" x14ac:dyDescent="0.25">
      <c r="A9" s="122">
        <v>7</v>
      </c>
      <c r="B9" s="122" t="s">
        <v>373</v>
      </c>
      <c r="C9" s="122"/>
      <c r="D9" s="122"/>
      <c r="E9" s="122"/>
      <c r="F9" s="122"/>
      <c r="G9" s="122"/>
      <c r="H9" s="122"/>
      <c r="I9" s="122"/>
      <c r="J9" s="122"/>
      <c r="K9" s="122"/>
      <c r="L9" s="122"/>
      <c r="M9" s="122"/>
      <c r="N9" s="122"/>
      <c r="O9" s="122"/>
      <c r="P9" s="122"/>
      <c r="Q9" s="123"/>
      <c r="R9" s="124"/>
      <c r="S9" s="122"/>
      <c r="T9" s="125"/>
      <c r="U9" s="126"/>
    </row>
    <row r="10" spans="1:21" ht="60" customHeight="1" x14ac:dyDescent="0.2">
      <c r="A10" s="102">
        <f>COUNT(A3:A8)</f>
        <v>6</v>
      </c>
      <c r="B10" s="15"/>
      <c r="C10" s="64"/>
      <c r="D10" s="64"/>
      <c r="E10" s="64"/>
      <c r="F10" s="29" t="s">
        <v>19</v>
      </c>
      <c r="G10" s="29">
        <f>SUM(G3:G8)</f>
        <v>512</v>
      </c>
      <c r="H10" s="64"/>
      <c r="I10" s="64"/>
      <c r="J10" s="64"/>
      <c r="K10" s="64"/>
      <c r="L10" s="64"/>
      <c r="M10" s="64"/>
      <c r="N10" s="64"/>
      <c r="O10" s="64"/>
      <c r="P10" s="64"/>
      <c r="Q10" s="64"/>
      <c r="R10" s="64"/>
      <c r="S10" s="64"/>
      <c r="T10" s="64"/>
      <c r="U10" s="98"/>
    </row>
    <row r="31" spans="16:16" ht="15" customHeight="1" x14ac:dyDescent="0.25">
      <c r="P31" s="100"/>
    </row>
  </sheetData>
  <customSheetViews>
    <customSheetView guid="{DA27B973-C9F9-4BB8-8F0D-2541CE7CF8F4}" scale="85">
      <selection activeCell="A7" sqref="A7:XFD7"/>
      <pageMargins left="0.7" right="0.7" top="0.75" bottom="0.75" header="0.3" footer="0.3"/>
      <pageSetup orientation="portrait" r:id="rId1"/>
    </customSheetView>
  </customSheetViews>
  <mergeCells count="1">
    <mergeCell ref="A1:Q1"/>
  </mergeCells>
  <hyperlinks>
    <hyperlink ref="J3" r:id="rId2" xr:uid="{00000000-0004-0000-0200-000000000000}"/>
    <hyperlink ref="J6" r:id="rId3" xr:uid="{00000000-0004-0000-0200-000001000000}"/>
    <hyperlink ref="J7" r:id="rId4" xr:uid="{00000000-0004-0000-0200-000002000000}"/>
    <hyperlink ref="L3" r:id="rId5" xr:uid="{00000000-0004-0000-0200-000003000000}"/>
    <hyperlink ref="L6" r:id="rId6" xr:uid="{00000000-0004-0000-0200-000004000000}"/>
    <hyperlink ref="L7" r:id="rId7" xr:uid="{00000000-0004-0000-0200-000005000000}"/>
    <hyperlink ref="M6" r:id="rId8" xr:uid="{00000000-0004-0000-0200-000006000000}"/>
    <hyperlink ref="M7" r:id="rId9" xr:uid="{00000000-0004-0000-0200-000007000000}"/>
    <hyperlink ref="P5" r:id="rId10" xr:uid="{00000000-0004-0000-0200-000008000000}"/>
    <hyperlink ref="P6" r:id="rId11" xr:uid="{00000000-0004-0000-0200-000009000000}"/>
    <hyperlink ref="P7" r:id="rId12" xr:uid="{00000000-0004-0000-0200-00000A000000}"/>
    <hyperlink ref="J5" r:id="rId13" xr:uid="{00000000-0004-0000-0200-00000B000000}"/>
    <hyperlink ref="N7" r:id="rId14" xr:uid="{00000000-0004-0000-0200-00000C000000}"/>
    <hyperlink ref="O3" r:id="rId15" xr:uid="{00000000-0004-0000-0200-00000D000000}"/>
    <hyperlink ref="N6" r:id="rId16" xr:uid="{00000000-0004-0000-0200-00000E000000}"/>
    <hyperlink ref="M4" r:id="rId17" xr:uid="{00000000-0004-0000-0200-00000F000000}"/>
    <hyperlink ref="P3" r:id="rId18" xr:uid="{00000000-0004-0000-0200-000010000000}"/>
    <hyperlink ref="N4" r:id="rId19" xr:uid="{00000000-0004-0000-0200-000011000000}"/>
    <hyperlink ref="N5" r:id="rId20" xr:uid="{00000000-0004-0000-0200-000012000000}"/>
    <hyperlink ref="M5" r:id="rId21" xr:uid="{00000000-0004-0000-0200-000013000000}"/>
    <hyperlink ref="L5" r:id="rId22" xr:uid="{00000000-0004-0000-0200-000014000000}"/>
    <hyperlink ref="P4" r:id="rId23" xr:uid="{00000000-0004-0000-0200-000015000000}"/>
    <hyperlink ref="P8" r:id="rId24" xr:uid="{00000000-0004-0000-0200-000016000000}"/>
    <hyperlink ref="N8" r:id="rId25" xr:uid="{00000000-0004-0000-0200-000017000000}"/>
  </hyperlinks>
  <pageMargins left="0.7" right="0.7" top="0.75" bottom="0.75" header="0.3" footer="0.3"/>
  <pageSetup scale="13" orientation="portrait" r:id="rId26"/>
  <tableParts count="1">
    <tablePart r:id="rId2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15"/>
  <sheetViews>
    <sheetView zoomScale="55" zoomScaleNormal="55" workbookViewId="0">
      <selection activeCell="H20" sqref="H20"/>
    </sheetView>
  </sheetViews>
  <sheetFormatPr defaultColWidth="15.7109375" defaultRowHeight="21" x14ac:dyDescent="0.25"/>
  <cols>
    <col min="1" max="1" width="8.140625" style="4" customWidth="1"/>
    <col min="2" max="2" width="21.28515625" style="4" customWidth="1"/>
    <col min="3" max="3" width="23.28515625" style="4" customWidth="1"/>
    <col min="4" max="4" width="26.5703125" style="4" customWidth="1"/>
    <col min="5" max="5" width="33.140625" style="4" customWidth="1"/>
    <col min="6" max="6" width="21.85546875" style="4" customWidth="1"/>
    <col min="7" max="7" width="11.28515625" style="4" customWidth="1"/>
    <col min="8" max="8" width="19.140625" style="4" customWidth="1"/>
    <col min="9" max="9" width="30.28515625" style="4" customWidth="1"/>
    <col min="10" max="10" width="25.28515625" style="88" customWidth="1"/>
    <col min="11" max="11" width="25" style="4" customWidth="1"/>
    <col min="12" max="12" width="27.140625" style="4" customWidth="1"/>
    <col min="13" max="13" width="22.5703125" style="4" customWidth="1"/>
    <col min="14" max="14" width="26.85546875" style="4" customWidth="1"/>
    <col min="15" max="15" width="19.7109375" style="4" customWidth="1"/>
    <col min="16" max="16" width="27.140625" style="4" customWidth="1"/>
    <col min="17" max="17" width="83.140625" style="4" customWidth="1"/>
    <col min="18" max="18" width="45" style="4" hidden="1" customWidth="1"/>
    <col min="19" max="19" width="42.5703125" hidden="1" customWidth="1"/>
    <col min="20" max="20" width="4.140625" hidden="1" customWidth="1"/>
  </cols>
  <sheetData>
    <row r="1" spans="1:54" ht="60" customHeight="1" x14ac:dyDescent="0.25">
      <c r="A1" s="133" t="s">
        <v>162</v>
      </c>
      <c r="B1" s="134"/>
      <c r="C1" s="134"/>
      <c r="D1" s="134"/>
      <c r="E1" s="134"/>
      <c r="F1" s="134"/>
      <c r="G1" s="134"/>
      <c r="H1" s="134"/>
      <c r="I1" s="134"/>
      <c r="J1" s="134"/>
      <c r="K1" s="134"/>
      <c r="L1" s="134"/>
      <c r="M1" s="134"/>
      <c r="N1" s="134"/>
      <c r="O1" s="134"/>
      <c r="P1" s="134"/>
      <c r="Q1" s="135"/>
      <c r="R1" s="82"/>
      <c r="S1" s="82"/>
      <c r="T1" s="82"/>
      <c r="U1" s="132"/>
      <c r="V1" s="132"/>
      <c r="W1" s="132"/>
      <c r="X1" s="132"/>
      <c r="Y1" s="132"/>
      <c r="Z1" s="132"/>
      <c r="AA1" s="132"/>
      <c r="AB1" s="132"/>
      <c r="AC1" s="132"/>
      <c r="AD1" s="132"/>
      <c r="AE1" s="132"/>
      <c r="AF1" s="132"/>
      <c r="AG1" s="132"/>
      <c r="AH1" s="132"/>
      <c r="AI1" s="132"/>
      <c r="AJ1" s="132"/>
      <c r="AK1" s="132"/>
    </row>
    <row r="2" spans="1:54" s="7" customFormat="1" ht="60" customHeight="1" x14ac:dyDescent="0.25">
      <c r="A2" s="16" t="s">
        <v>0</v>
      </c>
      <c r="B2" s="16" t="s">
        <v>1</v>
      </c>
      <c r="C2" s="16" t="s">
        <v>53</v>
      </c>
      <c r="D2" s="16" t="s">
        <v>128</v>
      </c>
      <c r="E2" s="16" t="s">
        <v>113</v>
      </c>
      <c r="F2" s="16" t="s">
        <v>4</v>
      </c>
      <c r="G2" s="16" t="s">
        <v>2</v>
      </c>
      <c r="H2" s="16" t="s">
        <v>77</v>
      </c>
      <c r="I2" s="16" t="s">
        <v>5</v>
      </c>
      <c r="J2" s="16" t="s">
        <v>43</v>
      </c>
      <c r="K2" s="16" t="s">
        <v>75</v>
      </c>
      <c r="L2" s="16" t="s">
        <v>41</v>
      </c>
      <c r="M2" s="16" t="s">
        <v>38</v>
      </c>
      <c r="N2" s="16" t="s">
        <v>42</v>
      </c>
      <c r="O2" s="16" t="s">
        <v>40</v>
      </c>
      <c r="P2" s="16" t="s">
        <v>39</v>
      </c>
      <c r="Q2" s="28" t="s">
        <v>130</v>
      </c>
      <c r="R2" s="28" t="s">
        <v>145</v>
      </c>
      <c r="S2" s="16" t="s">
        <v>161</v>
      </c>
      <c r="T2" s="22" t="s">
        <v>129</v>
      </c>
      <c r="U2" s="132"/>
      <c r="V2" s="132"/>
      <c r="W2" s="132"/>
      <c r="X2" s="132"/>
      <c r="Y2" s="132"/>
      <c r="Z2" s="132"/>
      <c r="AA2" s="132"/>
      <c r="AB2" s="132"/>
      <c r="AC2" s="132"/>
      <c r="AD2" s="132"/>
      <c r="AE2" s="132"/>
      <c r="AF2" s="132"/>
      <c r="AG2" s="132"/>
      <c r="AH2" s="132"/>
      <c r="AI2" s="132"/>
      <c r="AJ2" s="132"/>
      <c r="AK2" s="132"/>
      <c r="AL2" s="6"/>
      <c r="AM2" s="6"/>
      <c r="AN2" s="6"/>
      <c r="AO2" s="6"/>
      <c r="AP2" s="6"/>
      <c r="AQ2" s="6"/>
      <c r="AR2" s="6"/>
      <c r="AS2" s="6"/>
      <c r="AT2" s="6"/>
      <c r="AU2" s="6"/>
      <c r="AV2" s="6"/>
      <c r="AW2" s="6"/>
      <c r="AX2" s="6"/>
      <c r="AY2" s="6"/>
      <c r="AZ2" s="6"/>
      <c r="BA2" s="6"/>
      <c r="BB2" s="6"/>
    </row>
    <row r="3" spans="1:54" s="1" customFormat="1" ht="60" customHeight="1" x14ac:dyDescent="0.25">
      <c r="A3" s="16">
        <v>1</v>
      </c>
      <c r="B3" s="16" t="s">
        <v>116</v>
      </c>
      <c r="C3" s="16" t="s">
        <v>120</v>
      </c>
      <c r="D3" s="16" t="s">
        <v>58</v>
      </c>
      <c r="E3" s="16" t="s">
        <v>124</v>
      </c>
      <c r="F3" s="16">
        <v>9352945772</v>
      </c>
      <c r="G3" s="16">
        <v>120</v>
      </c>
      <c r="H3" s="17">
        <f>DATE(2025,10,4)</f>
        <v>45934</v>
      </c>
      <c r="I3" s="16" t="s">
        <v>240</v>
      </c>
      <c r="J3" s="84" t="s">
        <v>292</v>
      </c>
      <c r="K3" s="16">
        <v>7691099000</v>
      </c>
      <c r="L3" s="10" t="s">
        <v>156</v>
      </c>
      <c r="M3" s="10" t="s">
        <v>157</v>
      </c>
      <c r="N3" s="10" t="s">
        <v>159</v>
      </c>
      <c r="O3" s="75" t="s">
        <v>270</v>
      </c>
      <c r="P3" s="10" t="s">
        <v>337</v>
      </c>
      <c r="Q3" s="31" t="s">
        <v>364</v>
      </c>
      <c r="R3" s="31" t="s">
        <v>163</v>
      </c>
      <c r="S3" s="32"/>
      <c r="T3" s="32"/>
      <c r="U3" s="132"/>
      <c r="V3" s="132"/>
      <c r="W3" s="132"/>
      <c r="X3" s="132"/>
      <c r="Y3" s="132"/>
      <c r="Z3" s="132"/>
      <c r="AA3" s="132"/>
      <c r="AB3" s="132"/>
      <c r="AC3" s="132"/>
      <c r="AD3" s="132"/>
      <c r="AE3" s="132"/>
      <c r="AF3" s="132"/>
      <c r="AG3" s="132"/>
      <c r="AH3" s="132"/>
      <c r="AI3" s="132"/>
      <c r="AJ3" s="132"/>
      <c r="AK3" s="132"/>
      <c r="AL3" s="2"/>
      <c r="AM3" s="2"/>
      <c r="AN3" s="2"/>
      <c r="AO3" s="2"/>
      <c r="AP3" s="2"/>
      <c r="AQ3" s="2"/>
      <c r="AR3" s="2"/>
      <c r="AS3" s="2"/>
      <c r="AT3" s="2"/>
      <c r="AU3" s="2"/>
      <c r="AV3" s="2"/>
      <c r="AW3" s="2"/>
      <c r="AX3" s="2"/>
      <c r="AY3" s="2"/>
      <c r="AZ3" s="2"/>
      <c r="BA3" s="2"/>
      <c r="BB3" s="2"/>
    </row>
    <row r="4" spans="1:54" s="1" customFormat="1" ht="60" customHeight="1" x14ac:dyDescent="0.25">
      <c r="A4" s="16">
        <v>2</v>
      </c>
      <c r="B4" s="16" t="s">
        <v>117</v>
      </c>
      <c r="C4" s="16" t="s">
        <v>121</v>
      </c>
      <c r="D4" s="16" t="s">
        <v>122</v>
      </c>
      <c r="E4" s="16" t="s">
        <v>125</v>
      </c>
      <c r="F4" s="16">
        <v>9425511557</v>
      </c>
      <c r="G4" s="16">
        <v>72</v>
      </c>
      <c r="H4" s="17">
        <f>DATE(2025,12,4)</f>
        <v>45995</v>
      </c>
      <c r="I4" s="16" t="s">
        <v>6</v>
      </c>
      <c r="J4" s="63" t="s">
        <v>155</v>
      </c>
      <c r="K4" s="16">
        <v>9717980305</v>
      </c>
      <c r="L4" s="25"/>
      <c r="M4" s="10" t="s">
        <v>158</v>
      </c>
      <c r="N4" s="10" t="s">
        <v>160</v>
      </c>
      <c r="O4" s="27" t="s">
        <v>271</v>
      </c>
      <c r="P4" s="10"/>
      <c r="Q4" s="31" t="s">
        <v>266</v>
      </c>
      <c r="R4" s="31" t="s">
        <v>164</v>
      </c>
      <c r="S4" s="32"/>
      <c r="T4" s="32"/>
      <c r="U4" s="132"/>
      <c r="V4" s="132"/>
      <c r="W4" s="132"/>
      <c r="X4" s="132"/>
      <c r="Y4" s="132"/>
      <c r="Z4" s="132"/>
      <c r="AA4" s="132"/>
      <c r="AB4" s="132"/>
      <c r="AC4" s="132"/>
      <c r="AD4" s="132"/>
      <c r="AE4" s="132"/>
      <c r="AF4" s="132"/>
      <c r="AG4" s="132"/>
      <c r="AH4" s="132"/>
      <c r="AI4" s="132"/>
      <c r="AJ4" s="132"/>
      <c r="AK4" s="132"/>
      <c r="AL4" s="2"/>
      <c r="AM4" s="2"/>
      <c r="AN4" s="2"/>
      <c r="AO4" s="2"/>
      <c r="AP4" s="2"/>
      <c r="AQ4" s="2"/>
      <c r="AR4" s="2"/>
      <c r="AS4" s="2"/>
      <c r="AT4" s="2"/>
      <c r="AU4" s="2"/>
      <c r="AV4" s="2"/>
      <c r="AW4" s="2"/>
      <c r="AX4" s="2"/>
      <c r="AY4" s="2"/>
      <c r="AZ4" s="2"/>
      <c r="BA4" s="2"/>
      <c r="BB4" s="2"/>
    </row>
    <row r="5" spans="1:54" s="1" customFormat="1" ht="60" customHeight="1" x14ac:dyDescent="0.25">
      <c r="A5" s="16">
        <v>3</v>
      </c>
      <c r="B5" s="16" t="s">
        <v>118</v>
      </c>
      <c r="C5" s="16" t="s">
        <v>120</v>
      </c>
      <c r="D5" s="16" t="s">
        <v>123</v>
      </c>
      <c r="E5" s="16" t="s">
        <v>127</v>
      </c>
      <c r="F5" s="16">
        <v>9828033340</v>
      </c>
      <c r="G5" s="16">
        <v>104</v>
      </c>
      <c r="H5" s="17">
        <f>DATE(2025,11,25)</f>
        <v>45986</v>
      </c>
      <c r="I5" s="25" t="s">
        <v>242</v>
      </c>
      <c r="J5" s="89" t="s">
        <v>293</v>
      </c>
      <c r="K5" s="25">
        <v>9352588132</v>
      </c>
      <c r="L5" s="27" t="s">
        <v>290</v>
      </c>
      <c r="M5" s="25"/>
      <c r="N5" s="25"/>
      <c r="O5" s="27" t="s">
        <v>272</v>
      </c>
      <c r="P5" s="10" t="s">
        <v>338</v>
      </c>
      <c r="Q5" s="33" t="s">
        <v>362</v>
      </c>
      <c r="R5" s="33" t="s">
        <v>163</v>
      </c>
      <c r="S5" s="32"/>
      <c r="T5" s="32"/>
      <c r="U5" s="132"/>
      <c r="V5" s="132"/>
      <c r="W5" s="132"/>
      <c r="X5" s="132"/>
      <c r="Y5" s="132"/>
      <c r="Z5" s="132"/>
      <c r="AA5" s="132"/>
      <c r="AB5" s="132"/>
      <c r="AC5" s="132"/>
      <c r="AD5" s="132"/>
      <c r="AE5" s="132"/>
      <c r="AF5" s="132"/>
      <c r="AG5" s="132"/>
      <c r="AH5" s="132"/>
      <c r="AI5" s="132"/>
      <c r="AJ5" s="132"/>
      <c r="AK5" s="132"/>
      <c r="AL5" s="2"/>
      <c r="AM5" s="2"/>
      <c r="AN5" s="2"/>
      <c r="AO5" s="2"/>
      <c r="AP5" s="2"/>
      <c r="AQ5" s="2"/>
      <c r="AR5" s="2"/>
      <c r="AS5" s="2"/>
      <c r="AT5" s="2"/>
      <c r="AU5" s="2"/>
      <c r="AV5" s="2"/>
      <c r="AW5" s="2"/>
      <c r="AX5" s="2"/>
      <c r="AY5" s="2"/>
      <c r="AZ5" s="2"/>
      <c r="BA5" s="2"/>
      <c r="BB5" s="2"/>
    </row>
    <row r="6" spans="1:54" s="1" customFormat="1" ht="60" customHeight="1" x14ac:dyDescent="0.25">
      <c r="A6" s="16">
        <v>4</v>
      </c>
      <c r="B6" s="16" t="s">
        <v>119</v>
      </c>
      <c r="C6" s="16" t="s">
        <v>120</v>
      </c>
      <c r="D6" s="16" t="s">
        <v>123</v>
      </c>
      <c r="E6" s="16" t="s">
        <v>126</v>
      </c>
      <c r="F6" s="16">
        <v>9001853733</v>
      </c>
      <c r="G6" s="16">
        <v>57</v>
      </c>
      <c r="H6" s="17">
        <f>DATE(2026,1,26)</f>
        <v>46048</v>
      </c>
      <c r="I6" s="65" t="s">
        <v>241</v>
      </c>
      <c r="J6" s="65" t="s">
        <v>309</v>
      </c>
      <c r="K6" s="25" t="s">
        <v>243</v>
      </c>
      <c r="L6" s="65"/>
      <c r="M6" s="65"/>
      <c r="N6" s="10" t="s">
        <v>257</v>
      </c>
      <c r="O6" s="65" t="s">
        <v>74</v>
      </c>
      <c r="P6" s="10" t="s">
        <v>294</v>
      </c>
      <c r="Q6" s="33" t="s">
        <v>314</v>
      </c>
      <c r="R6" s="33" t="s">
        <v>163</v>
      </c>
      <c r="S6" s="32"/>
      <c r="T6" s="32"/>
      <c r="U6" s="132"/>
      <c r="V6" s="132"/>
      <c r="W6" s="132"/>
      <c r="X6" s="132"/>
      <c r="Y6" s="132"/>
      <c r="Z6" s="132"/>
      <c r="AA6" s="132"/>
      <c r="AB6" s="132"/>
      <c r="AC6" s="132"/>
      <c r="AD6" s="132"/>
      <c r="AE6" s="132"/>
      <c r="AF6" s="132"/>
      <c r="AG6" s="132"/>
      <c r="AH6" s="132"/>
      <c r="AI6" s="132"/>
      <c r="AJ6" s="132"/>
      <c r="AK6" s="132"/>
      <c r="AL6" s="2"/>
      <c r="AM6" s="2"/>
      <c r="AN6" s="2"/>
      <c r="AO6" s="2"/>
      <c r="AP6" s="2"/>
      <c r="AQ6" s="2"/>
      <c r="AR6" s="2"/>
      <c r="AS6" s="2"/>
      <c r="AT6" s="2"/>
      <c r="AU6" s="2"/>
      <c r="AV6" s="2"/>
      <c r="AW6" s="2"/>
      <c r="AX6" s="2"/>
      <c r="AY6" s="2"/>
      <c r="AZ6" s="2"/>
      <c r="BA6" s="2"/>
      <c r="BB6" s="2"/>
    </row>
    <row r="7" spans="1:54" s="1" customFormat="1" ht="60" customHeight="1" x14ac:dyDescent="0.25">
      <c r="A7" s="16">
        <v>5</v>
      </c>
      <c r="B7" s="46" t="s">
        <v>234</v>
      </c>
      <c r="C7" s="16" t="s">
        <v>121</v>
      </c>
      <c r="D7" s="16" t="s">
        <v>58</v>
      </c>
      <c r="E7" s="46" t="s">
        <v>239</v>
      </c>
      <c r="F7" s="46">
        <v>7000823459</v>
      </c>
      <c r="G7" s="46">
        <v>70</v>
      </c>
      <c r="H7" s="17">
        <f>DATE(2026,11,25)</f>
        <v>46351</v>
      </c>
      <c r="I7" s="46" t="s">
        <v>251</v>
      </c>
      <c r="J7" s="85" t="s">
        <v>256</v>
      </c>
      <c r="K7" s="46">
        <v>9425024008</v>
      </c>
      <c r="L7" s="46"/>
      <c r="M7" s="46"/>
      <c r="N7" s="10" t="s">
        <v>286</v>
      </c>
      <c r="O7" s="16" t="s">
        <v>74</v>
      </c>
      <c r="P7" s="46"/>
      <c r="Q7" s="31" t="s">
        <v>313</v>
      </c>
      <c r="R7" s="48"/>
      <c r="S7" s="46"/>
      <c r="T7" s="46"/>
      <c r="U7" s="132"/>
      <c r="V7" s="132"/>
      <c r="W7" s="132"/>
      <c r="X7" s="132"/>
      <c r="Y7" s="132"/>
      <c r="Z7" s="132"/>
      <c r="AA7" s="132"/>
      <c r="AB7" s="132"/>
      <c r="AC7" s="132"/>
      <c r="AD7" s="132"/>
      <c r="AE7" s="132"/>
      <c r="AF7" s="132"/>
      <c r="AG7" s="132"/>
      <c r="AH7" s="132"/>
      <c r="AI7" s="132"/>
      <c r="AJ7" s="132"/>
      <c r="AK7" s="132"/>
      <c r="AL7" s="2"/>
      <c r="AM7" s="2"/>
      <c r="AN7" s="2"/>
      <c r="AO7" s="2"/>
      <c r="AP7" s="2"/>
      <c r="AQ7" s="2"/>
      <c r="AR7" s="2"/>
      <c r="AS7" s="2"/>
      <c r="AT7" s="2"/>
      <c r="AU7" s="2"/>
      <c r="AV7" s="2"/>
      <c r="AW7" s="2"/>
      <c r="AX7" s="2"/>
      <c r="AY7" s="2"/>
      <c r="AZ7" s="2"/>
      <c r="BA7" s="2"/>
      <c r="BB7" s="2"/>
    </row>
    <row r="8" spans="1:54" s="9" customFormat="1" ht="60" customHeight="1" x14ac:dyDescent="0.25">
      <c r="A8" s="56">
        <f>COUNT(A3:A7)</f>
        <v>5</v>
      </c>
      <c r="B8" s="56"/>
      <c r="C8" s="56"/>
      <c r="D8" s="56"/>
      <c r="E8" s="56"/>
      <c r="F8" s="16" t="s">
        <v>19</v>
      </c>
      <c r="G8" s="16">
        <f>SUM(G3:G7)</f>
        <v>423</v>
      </c>
      <c r="H8" s="56"/>
      <c r="I8" s="56"/>
      <c r="J8" s="86"/>
      <c r="K8" s="66"/>
      <c r="L8" s="66"/>
      <c r="M8" s="66"/>
      <c r="N8" s="66"/>
      <c r="O8" s="66"/>
      <c r="P8" s="66"/>
      <c r="Q8" s="56"/>
      <c r="R8" s="56"/>
      <c r="S8" s="56"/>
      <c r="T8" s="56"/>
      <c r="U8" s="132"/>
      <c r="V8" s="132"/>
      <c r="W8" s="132"/>
      <c r="X8" s="132"/>
      <c r="Y8" s="132"/>
      <c r="Z8" s="132"/>
      <c r="AA8" s="132"/>
      <c r="AB8" s="132"/>
      <c r="AC8" s="132"/>
      <c r="AD8" s="132"/>
      <c r="AE8" s="132"/>
      <c r="AF8" s="132"/>
      <c r="AG8" s="132"/>
      <c r="AH8" s="132"/>
      <c r="AI8" s="132"/>
      <c r="AJ8" s="132"/>
      <c r="AK8" s="132"/>
      <c r="AL8" s="8"/>
      <c r="AM8" s="8"/>
      <c r="AN8" s="8"/>
      <c r="AO8" s="8"/>
      <c r="AP8" s="8"/>
      <c r="AQ8" s="8"/>
      <c r="AR8" s="8"/>
      <c r="AS8" s="8"/>
      <c r="AT8" s="8"/>
      <c r="AU8" s="8"/>
      <c r="AV8" s="8"/>
      <c r="AW8" s="8"/>
      <c r="AX8" s="8"/>
      <c r="AY8" s="8"/>
      <c r="AZ8" s="8"/>
      <c r="BA8" s="8"/>
      <c r="BB8" s="8"/>
    </row>
    <row r="9" spans="1:54" ht="15" customHeight="1" x14ac:dyDescent="0.25">
      <c r="A9" s="83"/>
      <c r="B9" s="83"/>
      <c r="C9" s="83"/>
      <c r="D9" s="83"/>
      <c r="E9" s="83"/>
      <c r="F9" s="83"/>
      <c r="G9" s="83"/>
      <c r="H9" s="83"/>
      <c r="I9" s="83"/>
      <c r="J9" s="87"/>
      <c r="K9" s="83"/>
      <c r="L9" s="83"/>
      <c r="M9" s="83"/>
      <c r="N9" s="83"/>
      <c r="O9" s="83"/>
      <c r="P9" s="83"/>
      <c r="Q9" s="83"/>
      <c r="U9" s="132"/>
      <c r="V9" s="132"/>
      <c r="W9" s="132"/>
      <c r="X9" s="132"/>
      <c r="Y9" s="132"/>
      <c r="Z9" s="132"/>
      <c r="AA9" s="132"/>
      <c r="AB9" s="132"/>
      <c r="AC9" s="132"/>
      <c r="AD9" s="132"/>
      <c r="AE9" s="132"/>
      <c r="AF9" s="132"/>
      <c r="AG9" s="132"/>
      <c r="AH9" s="132"/>
      <c r="AI9" s="132"/>
      <c r="AJ9" s="132"/>
      <c r="AK9" s="132"/>
    </row>
    <row r="10" spans="1:54" ht="15" customHeight="1" x14ac:dyDescent="0.25">
      <c r="A10" s="9"/>
      <c r="B10" s="9"/>
      <c r="C10" s="9"/>
      <c r="D10" s="9"/>
      <c r="E10" s="9"/>
      <c r="F10" s="9"/>
      <c r="G10" s="9"/>
      <c r="H10" s="9"/>
      <c r="I10" s="9"/>
      <c r="K10" s="9"/>
      <c r="L10" s="9"/>
      <c r="M10" s="9"/>
      <c r="N10" s="9"/>
      <c r="O10" s="9"/>
      <c r="P10" s="9"/>
      <c r="Q10" s="9"/>
      <c r="U10" s="132"/>
      <c r="V10" s="132"/>
      <c r="W10" s="132"/>
      <c r="X10" s="132"/>
      <c r="Y10" s="132"/>
      <c r="Z10" s="132"/>
      <c r="AA10" s="132"/>
      <c r="AB10" s="132"/>
      <c r="AC10" s="132"/>
      <c r="AD10" s="132"/>
      <c r="AE10" s="132"/>
      <c r="AF10" s="132"/>
      <c r="AG10" s="132"/>
      <c r="AH10" s="132"/>
      <c r="AI10" s="132"/>
      <c r="AJ10" s="132"/>
      <c r="AK10" s="132"/>
    </row>
    <row r="11" spans="1:54" ht="15" customHeight="1" x14ac:dyDescent="0.25">
      <c r="A11" s="9"/>
      <c r="B11" s="9"/>
      <c r="C11" s="9"/>
      <c r="D11" s="9"/>
      <c r="E11" s="9"/>
      <c r="F11" s="9"/>
      <c r="G11" s="9"/>
      <c r="H11" s="9"/>
      <c r="I11" s="9"/>
      <c r="K11" s="9"/>
      <c r="L11" s="9"/>
      <c r="M11" s="9"/>
      <c r="N11" s="9"/>
      <c r="O11" s="9"/>
      <c r="P11" s="9"/>
      <c r="Q11" s="9"/>
      <c r="U11" s="132"/>
      <c r="V11" s="132"/>
      <c r="W11" s="132"/>
      <c r="X11" s="132"/>
      <c r="Y11" s="132"/>
      <c r="Z11" s="132"/>
      <c r="AA11" s="132"/>
      <c r="AB11" s="132"/>
      <c r="AC11" s="132"/>
      <c r="AD11" s="132"/>
      <c r="AE11" s="132"/>
      <c r="AF11" s="132"/>
      <c r="AG11" s="132"/>
      <c r="AH11" s="132"/>
      <c r="AI11" s="132"/>
      <c r="AJ11" s="132"/>
      <c r="AK11" s="132"/>
    </row>
    <row r="12" spans="1:54" ht="15" customHeight="1" x14ac:dyDescent="0.25"/>
    <row r="13" spans="1:54" ht="15" customHeight="1" x14ac:dyDescent="0.25"/>
    <row r="14" spans="1:54" ht="15" customHeight="1" x14ac:dyDescent="0.25"/>
    <row r="15" spans="1:54" ht="15" customHeight="1" x14ac:dyDescent="0.25"/>
  </sheetData>
  <customSheetViews>
    <customSheetView guid="{DA27B973-C9F9-4BB8-8F0D-2541CE7CF8F4}" scale="70">
      <selection activeCell="A5" sqref="A5:XFD5"/>
      <pageMargins left="0.7" right="0.7" top="0.75" bottom="0.75" header="0.3" footer="0.3"/>
      <pageSetup orientation="portrait" r:id="rId1"/>
    </customSheetView>
  </customSheetViews>
  <mergeCells count="2">
    <mergeCell ref="U1:AK11"/>
    <mergeCell ref="A1:Q1"/>
  </mergeCells>
  <hyperlinks>
    <hyperlink ref="J4" r:id="rId2" xr:uid="{00000000-0004-0000-0300-000000000000}"/>
    <hyperlink ref="L3" r:id="rId3" xr:uid="{00000000-0004-0000-0300-000001000000}"/>
    <hyperlink ref="M3" r:id="rId4" xr:uid="{00000000-0004-0000-0300-000002000000}"/>
    <hyperlink ref="M4" r:id="rId5" xr:uid="{00000000-0004-0000-0300-000003000000}"/>
    <hyperlink ref="N3" r:id="rId6" xr:uid="{00000000-0004-0000-0300-000004000000}"/>
    <hyperlink ref="N4" r:id="rId7" xr:uid="{00000000-0004-0000-0300-000005000000}"/>
    <hyperlink ref="J7" r:id="rId8" xr:uid="{00000000-0004-0000-0300-000006000000}"/>
    <hyperlink ref="N6" r:id="rId9" xr:uid="{00000000-0004-0000-0300-000007000000}"/>
    <hyperlink ref="O3" r:id="rId10" xr:uid="{00000000-0004-0000-0300-000008000000}"/>
    <hyperlink ref="O4" r:id="rId11" xr:uid="{00000000-0004-0000-0300-000009000000}"/>
    <hyperlink ref="N7" r:id="rId12" xr:uid="{00000000-0004-0000-0300-00000A000000}"/>
    <hyperlink ref="J3" r:id="rId13" xr:uid="{00000000-0004-0000-0300-00000B000000}"/>
    <hyperlink ref="O5" r:id="rId14" xr:uid="{00000000-0004-0000-0300-00000C000000}"/>
    <hyperlink ref="L5" r:id="rId15" xr:uid="{00000000-0004-0000-0300-00000D000000}"/>
    <hyperlink ref="J5" r:id="rId16" xr:uid="{00000000-0004-0000-0300-00000E000000}"/>
    <hyperlink ref="P6" r:id="rId17" xr:uid="{00000000-0004-0000-0300-00000F000000}"/>
    <hyperlink ref="P3" r:id="rId18" xr:uid="{00000000-0004-0000-0300-000010000000}"/>
    <hyperlink ref="P5" r:id="rId19" xr:uid="{00000000-0004-0000-0300-000011000000}"/>
  </hyperlinks>
  <pageMargins left="0.7" right="0.7" top="0.75" bottom="0.75" header="0.3" footer="0.3"/>
  <pageSetup scale="15" orientation="portrait" r:id="rId20"/>
  <drawing r:id="rId21"/>
  <tableParts count="1">
    <tablePart r:id="rId2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9"/>
  <sheetViews>
    <sheetView zoomScale="70" zoomScaleNormal="70" workbookViewId="0">
      <selection activeCell="A3" sqref="A3:F6"/>
    </sheetView>
  </sheetViews>
  <sheetFormatPr defaultColWidth="15.7109375" defaultRowHeight="20.25" x14ac:dyDescent="0.25"/>
  <cols>
    <col min="1" max="1" width="6.85546875" style="21" customWidth="1"/>
    <col min="2" max="2" width="19.7109375" style="21" customWidth="1"/>
    <col min="3" max="3" width="20.7109375" style="21" customWidth="1"/>
    <col min="4" max="4" width="19.7109375" style="21" customWidth="1"/>
    <col min="5" max="5" width="23.42578125" style="21" customWidth="1"/>
    <col min="6" max="6" width="25.5703125" style="21" customWidth="1"/>
    <col min="7" max="7" width="24.140625" style="21" customWidth="1"/>
    <col min="8" max="8" width="21.28515625" style="21" customWidth="1"/>
    <col min="9" max="9" width="21.42578125" style="21" customWidth="1"/>
    <col min="10" max="10" width="34" style="21" customWidth="1"/>
    <col min="11" max="11" width="25.5703125" style="55" customWidth="1"/>
    <col min="12" max="12" width="25.5703125" style="21" customWidth="1"/>
    <col min="13" max="13" width="29.85546875" style="21" customWidth="1"/>
    <col min="14" max="14" width="27.5703125" style="21" customWidth="1"/>
    <col min="15" max="15" width="25.5703125" style="21" customWidth="1"/>
    <col min="16" max="16" width="26" style="21" customWidth="1"/>
    <col min="17" max="17" width="28.28515625" style="21" customWidth="1"/>
    <col min="18" max="18" width="86.140625" style="21" customWidth="1"/>
    <col min="19" max="19" width="31.28515625" style="21" hidden="1" customWidth="1"/>
    <col min="20" max="20" width="34.140625" hidden="1" customWidth="1"/>
    <col min="21" max="21" width="25.5703125" hidden="1" customWidth="1"/>
    <col min="22" max="35" width="25.5703125" customWidth="1"/>
  </cols>
  <sheetData>
    <row r="1" spans="1:22" ht="60" customHeight="1" x14ac:dyDescent="0.25">
      <c r="A1" s="136" t="s">
        <v>327</v>
      </c>
      <c r="B1" s="136"/>
      <c r="C1" s="136"/>
      <c r="D1" s="136"/>
      <c r="E1" s="136"/>
      <c r="F1" s="136"/>
      <c r="G1" s="136"/>
      <c r="H1" s="136"/>
      <c r="I1" s="136"/>
      <c r="J1" s="136"/>
      <c r="K1" s="136"/>
      <c r="L1" s="136"/>
      <c r="M1" s="136"/>
      <c r="N1" s="136"/>
      <c r="O1" s="136"/>
      <c r="P1" s="136"/>
      <c r="Q1" s="136"/>
      <c r="R1" s="136"/>
      <c r="S1" s="136"/>
      <c r="T1" s="56"/>
      <c r="U1" s="56"/>
    </row>
    <row r="2" spans="1:22" s="20" customFormat="1" ht="60" customHeight="1" x14ac:dyDescent="0.25">
      <c r="A2" s="16" t="s">
        <v>0</v>
      </c>
      <c r="B2" s="16" t="s">
        <v>1</v>
      </c>
      <c r="C2" s="16" t="s">
        <v>53</v>
      </c>
      <c r="D2" s="16" t="s">
        <v>60</v>
      </c>
      <c r="E2" s="16" t="s">
        <v>229</v>
      </c>
      <c r="F2" s="16" t="s">
        <v>113</v>
      </c>
      <c r="G2" s="16" t="s">
        <v>4</v>
      </c>
      <c r="H2" s="16" t="s">
        <v>2</v>
      </c>
      <c r="I2" s="16" t="s">
        <v>76</v>
      </c>
      <c r="J2" s="16" t="s">
        <v>5</v>
      </c>
      <c r="K2" s="52" t="s">
        <v>43</v>
      </c>
      <c r="L2" s="16" t="s">
        <v>75</v>
      </c>
      <c r="M2" s="16" t="s">
        <v>41</v>
      </c>
      <c r="N2" s="16" t="s">
        <v>38</v>
      </c>
      <c r="O2" s="16" t="s">
        <v>42</v>
      </c>
      <c r="P2" s="16" t="s">
        <v>40</v>
      </c>
      <c r="Q2" s="16" t="s">
        <v>39</v>
      </c>
      <c r="R2" s="16" t="s">
        <v>130</v>
      </c>
      <c r="S2" s="16" t="s">
        <v>145</v>
      </c>
      <c r="T2" s="16" t="s">
        <v>174</v>
      </c>
      <c r="U2" s="16" t="s">
        <v>115</v>
      </c>
      <c r="V2" s="19"/>
    </row>
    <row r="3" spans="1:22" s="12" customFormat="1" ht="60" customHeight="1" x14ac:dyDescent="0.25">
      <c r="A3" s="16">
        <v>1</v>
      </c>
      <c r="B3" s="16" t="s">
        <v>80</v>
      </c>
      <c r="C3" s="16" t="s">
        <v>84</v>
      </c>
      <c r="D3" s="16" t="s">
        <v>57</v>
      </c>
      <c r="E3" s="16" t="s">
        <v>86</v>
      </c>
      <c r="F3" s="16" t="s">
        <v>3</v>
      </c>
      <c r="G3" s="16">
        <v>9954899644</v>
      </c>
      <c r="H3" s="16">
        <v>38</v>
      </c>
      <c r="I3" s="17">
        <f>DATE(2026,3,26)</f>
        <v>46107</v>
      </c>
      <c r="J3" s="16" t="s">
        <v>165</v>
      </c>
      <c r="K3" s="53" t="s">
        <v>167</v>
      </c>
      <c r="L3" s="16" t="s">
        <v>7</v>
      </c>
      <c r="M3" s="34" t="s">
        <v>169</v>
      </c>
      <c r="N3" s="65"/>
      <c r="O3" s="65"/>
      <c r="P3" s="75" t="s">
        <v>273</v>
      </c>
      <c r="Q3" s="10" t="s">
        <v>339</v>
      </c>
      <c r="R3" s="76" t="s">
        <v>315</v>
      </c>
      <c r="S3" s="35" t="s">
        <v>176</v>
      </c>
      <c r="T3" s="37"/>
      <c r="U3" s="37"/>
      <c r="V3" s="13"/>
    </row>
    <row r="4" spans="1:22" s="12" customFormat="1" ht="93.75" x14ac:dyDescent="0.25">
      <c r="A4" s="16">
        <v>2</v>
      </c>
      <c r="B4" s="16" t="s">
        <v>78</v>
      </c>
      <c r="C4" s="16" t="s">
        <v>82</v>
      </c>
      <c r="D4" s="16" t="s">
        <v>81</v>
      </c>
      <c r="E4" s="16" t="s">
        <v>85</v>
      </c>
      <c r="F4" s="16" t="s">
        <v>87</v>
      </c>
      <c r="G4" s="16">
        <v>9335789978</v>
      </c>
      <c r="H4" s="16">
        <v>56</v>
      </c>
      <c r="I4" s="17">
        <f>DATE(2025,10,25)</f>
        <v>45955</v>
      </c>
      <c r="J4" s="16" t="s">
        <v>166</v>
      </c>
      <c r="K4" s="53" t="s">
        <v>168</v>
      </c>
      <c r="L4" s="16">
        <v>9426115187</v>
      </c>
      <c r="M4" s="34" t="s">
        <v>170</v>
      </c>
      <c r="N4" s="34" t="s">
        <v>172</v>
      </c>
      <c r="O4" s="25"/>
      <c r="P4" s="27" t="s">
        <v>274</v>
      </c>
      <c r="Q4" s="10" t="s">
        <v>340</v>
      </c>
      <c r="R4" s="76" t="s">
        <v>316</v>
      </c>
      <c r="S4" s="35" t="s">
        <v>177</v>
      </c>
      <c r="T4" s="28" t="s">
        <v>173</v>
      </c>
      <c r="U4" s="28">
        <v>8573037407</v>
      </c>
      <c r="V4" s="13"/>
    </row>
    <row r="5" spans="1:22" ht="60" customHeight="1" x14ac:dyDescent="0.25">
      <c r="A5" s="16">
        <v>3</v>
      </c>
      <c r="B5" s="15" t="s">
        <v>89</v>
      </c>
      <c r="C5" s="15" t="s">
        <v>90</v>
      </c>
      <c r="D5" s="15" t="s">
        <v>91</v>
      </c>
      <c r="E5" s="15" t="s">
        <v>92</v>
      </c>
      <c r="F5" s="15" t="s">
        <v>93</v>
      </c>
      <c r="G5" s="15">
        <v>9934280454</v>
      </c>
      <c r="H5" s="15">
        <v>50</v>
      </c>
      <c r="I5" s="17">
        <f>DATE(2025,11,25)</f>
        <v>45986</v>
      </c>
      <c r="J5" s="15" t="s">
        <v>247</v>
      </c>
      <c r="K5" s="54" t="s">
        <v>248</v>
      </c>
      <c r="L5" s="51">
        <v>9886083430</v>
      </c>
      <c r="M5" s="57" t="s">
        <v>254</v>
      </c>
      <c r="N5" s="57"/>
      <c r="O5" s="75" t="s">
        <v>285</v>
      </c>
      <c r="P5" s="75" t="s">
        <v>275</v>
      </c>
      <c r="Q5" s="67"/>
      <c r="R5" s="105" t="s">
        <v>317</v>
      </c>
      <c r="S5" s="36" t="s">
        <v>178</v>
      </c>
      <c r="T5" s="38"/>
      <c r="U5" s="38"/>
    </row>
    <row r="6" spans="1:22" s="12" customFormat="1" ht="60" customHeight="1" x14ac:dyDescent="0.25">
      <c r="A6" s="16">
        <v>4</v>
      </c>
      <c r="B6" s="16" t="s">
        <v>79</v>
      </c>
      <c r="C6" s="16" t="s">
        <v>83</v>
      </c>
      <c r="D6" s="16" t="s">
        <v>57</v>
      </c>
      <c r="E6" s="16" t="s">
        <v>22</v>
      </c>
      <c r="F6" s="16" t="s">
        <v>88</v>
      </c>
      <c r="G6" s="16">
        <v>9234000011</v>
      </c>
      <c r="H6" s="16">
        <v>60</v>
      </c>
      <c r="I6" s="17">
        <f>DATE(2026,8,25)</f>
        <v>46259</v>
      </c>
      <c r="J6" s="15" t="s">
        <v>249</v>
      </c>
      <c r="K6" s="59" t="s">
        <v>250</v>
      </c>
      <c r="L6" s="25">
        <v>9163755866</v>
      </c>
      <c r="M6" s="34" t="s">
        <v>171</v>
      </c>
      <c r="N6" s="10" t="s">
        <v>253</v>
      </c>
      <c r="O6" s="25"/>
      <c r="P6" s="25" t="s">
        <v>74</v>
      </c>
      <c r="Q6" s="10" t="s">
        <v>341</v>
      </c>
      <c r="R6" s="76" t="s">
        <v>175</v>
      </c>
      <c r="S6" s="35" t="s">
        <v>146</v>
      </c>
      <c r="T6" s="37"/>
      <c r="U6" s="37"/>
      <c r="V6" s="13"/>
    </row>
    <row r="7" spans="1:22" s="14" customFormat="1" ht="60" customHeight="1" x14ac:dyDescent="0.3">
      <c r="A7" s="56">
        <f>COUNT(A2:A6)</f>
        <v>4</v>
      </c>
      <c r="B7" s="56"/>
      <c r="C7" s="56"/>
      <c r="D7" s="56"/>
      <c r="E7" s="56"/>
      <c r="F7" s="56"/>
      <c r="G7" s="16" t="s">
        <v>19</v>
      </c>
      <c r="H7" s="16">
        <f>SUM(H3:H6)</f>
        <v>204</v>
      </c>
      <c r="I7" s="56"/>
      <c r="J7" s="56"/>
      <c r="K7" s="58"/>
      <c r="L7" s="56"/>
      <c r="M7" s="56"/>
      <c r="N7" s="56"/>
      <c r="O7" s="56"/>
      <c r="P7" s="56"/>
      <c r="Q7" s="56"/>
      <c r="R7" s="56"/>
      <c r="S7" s="56"/>
      <c r="T7" s="56"/>
      <c r="U7" s="56"/>
      <c r="V7" s="13"/>
    </row>
    <row r="9" spans="1:22" x14ac:dyDescent="0.25">
      <c r="J9" s="23"/>
    </row>
  </sheetData>
  <customSheetViews>
    <customSheetView guid="{DA27B973-C9F9-4BB8-8F0D-2541CE7CF8F4}">
      <selection activeCell="A3" sqref="A3:XFD3"/>
      <pageMargins left="0.7" right="0.7" top="0.75" bottom="0.75" header="0.3" footer="0.3"/>
      <pageSetup orientation="portrait" r:id="rId1"/>
    </customSheetView>
  </customSheetViews>
  <mergeCells count="1">
    <mergeCell ref="A1:S1"/>
  </mergeCells>
  <hyperlinks>
    <hyperlink ref="K3" r:id="rId2" xr:uid="{00000000-0004-0000-0400-000000000000}"/>
    <hyperlink ref="K4" r:id="rId3" xr:uid="{00000000-0004-0000-0400-000001000000}"/>
    <hyperlink ref="M3" r:id="rId4" xr:uid="{00000000-0004-0000-0400-000002000000}"/>
    <hyperlink ref="M4" r:id="rId5" xr:uid="{00000000-0004-0000-0400-000003000000}"/>
    <hyperlink ref="M6" r:id="rId6" xr:uid="{00000000-0004-0000-0400-000004000000}"/>
    <hyperlink ref="N4" r:id="rId7" xr:uid="{00000000-0004-0000-0400-000005000000}"/>
    <hyperlink ref="K5" r:id="rId8" xr:uid="{00000000-0004-0000-0400-000006000000}"/>
    <hyperlink ref="K6" r:id="rId9" xr:uid="{00000000-0004-0000-0400-000007000000}"/>
    <hyperlink ref="N6" r:id="rId10" xr:uid="{00000000-0004-0000-0400-000008000000}"/>
    <hyperlink ref="M5:N5" r:id="rId11" display="https://workdrive.zohopublic.in/folder/d7kd5ebbfb63df5f04987a495aa76b9a89c39" xr:uid="{00000000-0004-0000-0400-000009000000}"/>
    <hyperlink ref="P3" r:id="rId12" xr:uid="{00000000-0004-0000-0400-00000A000000}"/>
    <hyperlink ref="P4" r:id="rId13" xr:uid="{00000000-0004-0000-0400-00000B000000}"/>
    <hyperlink ref="P5" r:id="rId14" xr:uid="{00000000-0004-0000-0400-00000C000000}"/>
    <hyperlink ref="O5" r:id="rId15" xr:uid="{00000000-0004-0000-0400-00000D000000}"/>
    <hyperlink ref="Q3" r:id="rId16" xr:uid="{00000000-0004-0000-0400-00000E000000}"/>
    <hyperlink ref="Q4" r:id="rId17" xr:uid="{00000000-0004-0000-0400-00000F000000}"/>
    <hyperlink ref="Q6" r:id="rId18" xr:uid="{00000000-0004-0000-0400-000010000000}"/>
  </hyperlinks>
  <pageMargins left="0.7" right="0.7" top="0.75" bottom="0.75" header="0.3" footer="0.3"/>
  <pageSetup scale="15" orientation="portrait" r:id="rId19"/>
  <drawing r:id="rId20"/>
  <tableParts count="1">
    <tablePart r:id="rId2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6"/>
  <sheetViews>
    <sheetView topLeftCell="A3" zoomScale="55" zoomScaleNormal="55" zoomScaleSheetLayoutView="40" workbookViewId="0">
      <selection activeCell="A3" sqref="A3:E15"/>
    </sheetView>
  </sheetViews>
  <sheetFormatPr defaultColWidth="15.7109375" defaultRowHeight="15" x14ac:dyDescent="0.25"/>
  <cols>
    <col min="1" max="1" width="6" customWidth="1"/>
    <col min="2" max="2" width="32.42578125" customWidth="1"/>
    <col min="3" max="3" width="26.85546875" customWidth="1"/>
    <col min="4" max="4" width="32.7109375" customWidth="1"/>
    <col min="5" max="5" width="34" customWidth="1"/>
    <col min="6" max="6" width="29.28515625" customWidth="1"/>
    <col min="7" max="7" width="15.85546875" bestFit="1" customWidth="1"/>
    <col min="8" max="8" width="33" customWidth="1"/>
    <col min="9" max="9" width="32.5703125" customWidth="1"/>
    <col min="10" max="10" width="38.5703125" customWidth="1"/>
    <col min="11" max="11" width="27.7109375" customWidth="1"/>
    <col min="12" max="12" width="28.85546875" customWidth="1"/>
    <col min="13" max="13" width="25.28515625" customWidth="1"/>
    <col min="14" max="14" width="26.28515625" customWidth="1"/>
    <col min="15" max="15" width="26.7109375" customWidth="1"/>
    <col min="16" max="16" width="46.7109375" customWidth="1"/>
    <col min="17" max="17" width="98.140625" customWidth="1"/>
    <col min="18" max="18" width="52" hidden="1" customWidth="1"/>
    <col min="19" max="19" width="52.85546875" hidden="1" customWidth="1"/>
    <col min="20" max="20" width="31.140625" hidden="1" customWidth="1"/>
  </cols>
  <sheetData>
    <row r="1" spans="1:21" ht="60" customHeight="1" x14ac:dyDescent="0.25">
      <c r="A1" s="137" t="s">
        <v>179</v>
      </c>
      <c r="B1" s="137"/>
      <c r="C1" s="137"/>
      <c r="D1" s="137"/>
      <c r="E1" s="137"/>
      <c r="F1" s="137"/>
      <c r="G1" s="137"/>
      <c r="H1" s="137"/>
      <c r="I1" s="137"/>
      <c r="J1" s="137"/>
      <c r="K1" s="137"/>
      <c r="L1" s="137"/>
      <c r="M1" s="137"/>
      <c r="N1" s="137"/>
      <c r="O1" s="137"/>
      <c r="P1" s="137"/>
      <c r="Q1" s="137"/>
      <c r="R1" s="137"/>
      <c r="S1" s="137"/>
      <c r="T1" s="137"/>
    </row>
    <row r="2" spans="1:21" s="20" customFormat="1" ht="60" customHeight="1" x14ac:dyDescent="0.25">
      <c r="A2" s="16" t="s">
        <v>94</v>
      </c>
      <c r="B2" s="16" t="s">
        <v>1</v>
      </c>
      <c r="C2" s="16" t="s">
        <v>53</v>
      </c>
      <c r="D2" s="16" t="s">
        <v>229</v>
      </c>
      <c r="E2" s="16" t="s">
        <v>113</v>
      </c>
      <c r="F2" s="16" t="s">
        <v>4</v>
      </c>
      <c r="G2" s="16" t="s">
        <v>2</v>
      </c>
      <c r="H2" s="16" t="s">
        <v>76</v>
      </c>
      <c r="I2" s="16" t="s">
        <v>5</v>
      </c>
      <c r="J2" s="16" t="s">
        <v>43</v>
      </c>
      <c r="K2" s="16" t="s">
        <v>75</v>
      </c>
      <c r="L2" s="16" t="s">
        <v>41</v>
      </c>
      <c r="M2" s="16" t="s">
        <v>38</v>
      </c>
      <c r="N2" s="16" t="s">
        <v>42</v>
      </c>
      <c r="O2" s="16" t="s">
        <v>40</v>
      </c>
      <c r="P2" s="16" t="s">
        <v>39</v>
      </c>
      <c r="Q2" s="16" t="s">
        <v>130</v>
      </c>
      <c r="R2" s="16" t="s">
        <v>145</v>
      </c>
      <c r="S2" s="16" t="s">
        <v>222</v>
      </c>
      <c r="T2" s="16" t="s">
        <v>214</v>
      </c>
      <c r="U2" s="19"/>
    </row>
    <row r="3" spans="1:21" s="12" customFormat="1" ht="60" customHeight="1" x14ac:dyDescent="0.25">
      <c r="A3" s="16">
        <v>1</v>
      </c>
      <c r="B3" s="16" t="s">
        <v>8</v>
      </c>
      <c r="C3" s="16" t="s">
        <v>54</v>
      </c>
      <c r="D3" s="16" t="s">
        <v>9</v>
      </c>
      <c r="E3" s="16" t="s">
        <v>10</v>
      </c>
      <c r="F3" s="16">
        <v>9374021500</v>
      </c>
      <c r="G3" s="16">
        <v>70</v>
      </c>
      <c r="H3" s="17">
        <v>45992</v>
      </c>
      <c r="I3" s="16" t="s">
        <v>11</v>
      </c>
      <c r="J3" s="25"/>
      <c r="K3" s="16">
        <v>9824009327</v>
      </c>
      <c r="L3" s="10" t="s">
        <v>182</v>
      </c>
      <c r="M3" s="25"/>
      <c r="N3" s="56"/>
      <c r="O3" s="10" t="s">
        <v>223</v>
      </c>
      <c r="P3" s="10" t="s">
        <v>345</v>
      </c>
      <c r="Q3" s="106" t="s">
        <v>318</v>
      </c>
      <c r="R3" s="35" t="s">
        <v>201</v>
      </c>
      <c r="S3" s="16" t="s">
        <v>209</v>
      </c>
      <c r="T3" s="16">
        <v>9904260771</v>
      </c>
      <c r="U3" s="13"/>
    </row>
    <row r="4" spans="1:21" ht="60" customHeight="1" x14ac:dyDescent="0.25">
      <c r="A4" s="16">
        <v>2</v>
      </c>
      <c r="B4" s="68" t="s">
        <v>298</v>
      </c>
      <c r="C4" s="68" t="s">
        <v>100</v>
      </c>
      <c r="D4" s="68" t="s">
        <v>301</v>
      </c>
      <c r="E4" s="68" t="s">
        <v>299</v>
      </c>
      <c r="F4" s="68">
        <v>9825192234</v>
      </c>
      <c r="G4" s="68">
        <v>50</v>
      </c>
      <c r="H4" s="95">
        <f>DATE(2025,12,25)</f>
        <v>46016</v>
      </c>
      <c r="I4" s="68" t="s">
        <v>300</v>
      </c>
      <c r="J4" s="16"/>
      <c r="K4" s="68">
        <v>8460807854</v>
      </c>
      <c r="L4" s="68"/>
      <c r="M4" s="68"/>
      <c r="N4" s="69" t="s">
        <v>296</v>
      </c>
      <c r="O4" s="68"/>
      <c r="P4" s="68"/>
      <c r="Q4" s="107" t="s">
        <v>365</v>
      </c>
      <c r="R4" s="92"/>
      <c r="S4" s="16"/>
      <c r="T4" s="93"/>
    </row>
    <row r="5" spans="1:21" s="12" customFormat="1" ht="60" customHeight="1" x14ac:dyDescent="0.25">
      <c r="A5" s="16">
        <v>3</v>
      </c>
      <c r="B5" s="25" t="s">
        <v>12</v>
      </c>
      <c r="C5" s="25" t="s">
        <v>55</v>
      </c>
      <c r="D5" s="25" t="s">
        <v>9</v>
      </c>
      <c r="E5" s="25" t="s">
        <v>13</v>
      </c>
      <c r="F5" s="25">
        <v>9422170979</v>
      </c>
      <c r="G5" s="25">
        <v>60</v>
      </c>
      <c r="H5" s="94">
        <v>45992</v>
      </c>
      <c r="I5" s="25" t="s">
        <v>14</v>
      </c>
      <c r="J5" s="25"/>
      <c r="K5" s="25">
        <v>9920840633</v>
      </c>
      <c r="L5" s="27" t="s">
        <v>183</v>
      </c>
      <c r="M5" s="27" t="s">
        <v>190</v>
      </c>
      <c r="N5" s="25"/>
      <c r="O5" s="27" t="s">
        <v>276</v>
      </c>
      <c r="P5" s="27" t="s">
        <v>342</v>
      </c>
      <c r="Q5" s="106" t="s">
        <v>366</v>
      </c>
      <c r="R5" s="35" t="s">
        <v>201</v>
      </c>
      <c r="S5" s="16" t="s">
        <v>210</v>
      </c>
      <c r="T5" s="16">
        <v>9403590979</v>
      </c>
      <c r="U5" s="13"/>
    </row>
    <row r="6" spans="1:21" s="12" customFormat="1" ht="60" customHeight="1" x14ac:dyDescent="0.25">
      <c r="A6" s="16">
        <v>4</v>
      </c>
      <c r="B6" s="68" t="s">
        <v>25</v>
      </c>
      <c r="C6" s="68" t="s">
        <v>54</v>
      </c>
      <c r="D6" s="68" t="s">
        <v>26</v>
      </c>
      <c r="E6" s="68" t="s">
        <v>27</v>
      </c>
      <c r="F6" s="68">
        <v>9726997880</v>
      </c>
      <c r="G6" s="68">
        <v>59</v>
      </c>
      <c r="H6" s="95">
        <f>DATE(2025,10,25)</f>
        <v>45955</v>
      </c>
      <c r="I6" s="68" t="s">
        <v>28</v>
      </c>
      <c r="J6" s="69" t="s">
        <v>180</v>
      </c>
      <c r="K6" s="68">
        <v>9870060053</v>
      </c>
      <c r="L6" s="69" t="s">
        <v>184</v>
      </c>
      <c r="M6" s="69" t="s">
        <v>191</v>
      </c>
      <c r="N6" s="69" t="s">
        <v>197</v>
      </c>
      <c r="O6" s="69" t="s">
        <v>277</v>
      </c>
      <c r="P6" s="69" t="s">
        <v>343</v>
      </c>
      <c r="Q6" s="108" t="s">
        <v>319</v>
      </c>
      <c r="R6" s="35" t="s">
        <v>201</v>
      </c>
      <c r="S6" s="16" t="s">
        <v>47</v>
      </c>
      <c r="T6" s="16">
        <v>9820263940</v>
      </c>
      <c r="U6" s="13"/>
    </row>
    <row r="7" spans="1:21" s="12" customFormat="1" ht="60" customHeight="1" x14ac:dyDescent="0.25">
      <c r="A7" s="16">
        <v>5</v>
      </c>
      <c r="B7" s="25" t="s">
        <v>99</v>
      </c>
      <c r="C7" s="25" t="s">
        <v>54</v>
      </c>
      <c r="D7" s="25" t="s">
        <v>29</v>
      </c>
      <c r="E7" s="25" t="s">
        <v>30</v>
      </c>
      <c r="F7" s="25">
        <v>9879198077</v>
      </c>
      <c r="G7" s="25">
        <v>44</v>
      </c>
      <c r="H7" s="94">
        <f t="shared" ref="H7" si="0">DATE(2025,10,25)</f>
        <v>45955</v>
      </c>
      <c r="I7" s="25" t="s">
        <v>31</v>
      </c>
      <c r="J7" s="27" t="s">
        <v>181</v>
      </c>
      <c r="K7" s="25">
        <v>9824113661</v>
      </c>
      <c r="L7" s="27" t="s">
        <v>185</v>
      </c>
      <c r="M7" s="27" t="s">
        <v>192</v>
      </c>
      <c r="N7" s="25"/>
      <c r="O7" s="27" t="s">
        <v>278</v>
      </c>
      <c r="P7" s="27" t="s">
        <v>344</v>
      </c>
      <c r="Q7" s="106" t="s">
        <v>267</v>
      </c>
      <c r="R7" s="35" t="s">
        <v>202</v>
      </c>
      <c r="S7" s="16" t="s">
        <v>218</v>
      </c>
      <c r="T7" s="16" t="s">
        <v>219</v>
      </c>
      <c r="U7" s="13"/>
    </row>
    <row r="8" spans="1:21" s="12" customFormat="1" ht="60" customHeight="1" x14ac:dyDescent="0.25">
      <c r="A8" s="16">
        <v>6</v>
      </c>
      <c r="B8" s="68" t="s">
        <v>98</v>
      </c>
      <c r="C8" s="68" t="s">
        <v>54</v>
      </c>
      <c r="D8" s="68" t="s">
        <v>24</v>
      </c>
      <c r="E8" s="68" t="s">
        <v>33</v>
      </c>
      <c r="F8" s="68" t="s">
        <v>34</v>
      </c>
      <c r="G8" s="68">
        <v>65</v>
      </c>
      <c r="H8" s="95">
        <f>DATE(2025,12,25)</f>
        <v>46016</v>
      </c>
      <c r="I8" s="68" t="s">
        <v>44</v>
      </c>
      <c r="J8" s="69" t="s">
        <v>307</v>
      </c>
      <c r="K8" s="68">
        <v>9824245252</v>
      </c>
      <c r="L8" s="69" t="s">
        <v>186</v>
      </c>
      <c r="M8" s="69" t="s">
        <v>193</v>
      </c>
      <c r="N8" s="69" t="s">
        <v>198</v>
      </c>
      <c r="O8" s="69" t="s">
        <v>279</v>
      </c>
      <c r="P8" s="69" t="s">
        <v>283</v>
      </c>
      <c r="Q8" s="108" t="s">
        <v>367</v>
      </c>
      <c r="R8" s="35" t="s">
        <v>201</v>
      </c>
      <c r="S8" s="16" t="s">
        <v>48</v>
      </c>
      <c r="T8" s="16">
        <v>8155057272</v>
      </c>
      <c r="U8" s="13"/>
    </row>
    <row r="9" spans="1:21" s="12" customFormat="1" ht="60" customHeight="1" x14ac:dyDescent="0.25">
      <c r="A9" s="16">
        <v>7</v>
      </c>
      <c r="B9" s="25" t="s">
        <v>49</v>
      </c>
      <c r="C9" s="25" t="s">
        <v>55</v>
      </c>
      <c r="D9" s="25" t="s">
        <v>46</v>
      </c>
      <c r="E9" s="25" t="s">
        <v>52</v>
      </c>
      <c r="F9" s="25">
        <v>7570909090</v>
      </c>
      <c r="G9" s="25">
        <v>70</v>
      </c>
      <c r="H9" s="94" t="s">
        <v>258</v>
      </c>
      <c r="I9" s="25"/>
      <c r="J9" s="25"/>
      <c r="K9" s="25"/>
      <c r="L9" s="27" t="s">
        <v>187</v>
      </c>
      <c r="M9" s="25"/>
      <c r="N9" s="27" t="s">
        <v>287</v>
      </c>
      <c r="O9" s="25" t="s">
        <v>74</v>
      </c>
      <c r="P9" s="27"/>
      <c r="Q9" s="109" t="s">
        <v>259</v>
      </c>
      <c r="R9" s="35" t="s">
        <v>203</v>
      </c>
      <c r="S9" s="24"/>
      <c r="T9" s="24"/>
      <c r="U9" s="13"/>
    </row>
    <row r="10" spans="1:21" s="12" customFormat="1" ht="60" customHeight="1" x14ac:dyDescent="0.25">
      <c r="A10" s="16">
        <v>8</v>
      </c>
      <c r="B10" s="68" t="s">
        <v>97</v>
      </c>
      <c r="C10" s="68" t="s">
        <v>54</v>
      </c>
      <c r="D10" s="68" t="s">
        <v>9</v>
      </c>
      <c r="E10" s="68" t="s">
        <v>32</v>
      </c>
      <c r="F10" s="68">
        <v>61410073369</v>
      </c>
      <c r="G10" s="68">
        <v>80</v>
      </c>
      <c r="H10" s="95">
        <f>DATE(2026,3,26)</f>
        <v>46107</v>
      </c>
      <c r="I10" s="68" t="s">
        <v>15</v>
      </c>
      <c r="J10" s="68"/>
      <c r="K10" s="68">
        <v>9723143430</v>
      </c>
      <c r="L10" s="68"/>
      <c r="M10" s="69" t="s">
        <v>194</v>
      </c>
      <c r="N10" s="69" t="s">
        <v>199</v>
      </c>
      <c r="O10" s="119" t="s">
        <v>347</v>
      </c>
      <c r="P10" s="69" t="s">
        <v>346</v>
      </c>
      <c r="Q10" s="108" t="s">
        <v>368</v>
      </c>
      <c r="R10" s="35" t="s">
        <v>201</v>
      </c>
      <c r="S10" s="16" t="s">
        <v>211</v>
      </c>
      <c r="T10" s="16" t="s">
        <v>212</v>
      </c>
      <c r="U10" s="13"/>
    </row>
    <row r="11" spans="1:21" s="12" customFormat="1" ht="60" customHeight="1" x14ac:dyDescent="0.25">
      <c r="A11" s="16">
        <v>9</v>
      </c>
      <c r="B11" s="25" t="s">
        <v>16</v>
      </c>
      <c r="C11" s="25" t="s">
        <v>55</v>
      </c>
      <c r="D11" s="25" t="s">
        <v>9</v>
      </c>
      <c r="E11" s="25" t="s">
        <v>17</v>
      </c>
      <c r="F11" s="25">
        <v>9822023135</v>
      </c>
      <c r="G11" s="25">
        <v>65</v>
      </c>
      <c r="H11" s="94">
        <f>DATE(2026,3,26)</f>
        <v>46107</v>
      </c>
      <c r="I11" s="25" t="s">
        <v>18</v>
      </c>
      <c r="J11" s="27" t="s">
        <v>181</v>
      </c>
      <c r="K11" s="25">
        <v>9011074334</v>
      </c>
      <c r="L11" s="27" t="s">
        <v>188</v>
      </c>
      <c r="M11" s="27" t="s">
        <v>195</v>
      </c>
      <c r="N11" s="27" t="s">
        <v>200</v>
      </c>
      <c r="O11" s="25" t="s">
        <v>74</v>
      </c>
      <c r="P11" s="27" t="s">
        <v>348</v>
      </c>
      <c r="Q11" s="106" t="s">
        <v>268</v>
      </c>
      <c r="R11" s="35" t="s">
        <v>204</v>
      </c>
      <c r="S11" s="16" t="s">
        <v>220</v>
      </c>
      <c r="T11" s="16" t="s">
        <v>221</v>
      </c>
      <c r="U11" s="13"/>
    </row>
    <row r="12" spans="1:21" s="12" customFormat="1" ht="60" customHeight="1" x14ac:dyDescent="0.25">
      <c r="A12" s="16">
        <v>10</v>
      </c>
      <c r="B12" s="68" t="s">
        <v>45</v>
      </c>
      <c r="C12" s="68" t="s">
        <v>55</v>
      </c>
      <c r="D12" s="68" t="s">
        <v>46</v>
      </c>
      <c r="E12" s="68" t="s">
        <v>101</v>
      </c>
      <c r="F12" s="68">
        <v>9820803060</v>
      </c>
      <c r="G12" s="68">
        <v>60</v>
      </c>
      <c r="H12" s="95" t="s">
        <v>320</v>
      </c>
      <c r="I12" s="68"/>
      <c r="J12" s="68"/>
      <c r="K12" s="68"/>
      <c r="L12" s="68"/>
      <c r="M12" s="68"/>
      <c r="N12" s="68"/>
      <c r="O12" s="68" t="s">
        <v>74</v>
      </c>
      <c r="P12" s="68" t="s">
        <v>74</v>
      </c>
      <c r="Q12" s="107"/>
      <c r="R12" s="40" t="s">
        <v>205</v>
      </c>
      <c r="S12" s="24"/>
      <c r="T12" s="24"/>
      <c r="U12" s="13"/>
    </row>
    <row r="13" spans="1:21" s="11" customFormat="1" ht="60" customHeight="1" x14ac:dyDescent="0.3">
      <c r="A13" s="16">
        <v>11</v>
      </c>
      <c r="B13" s="25" t="s">
        <v>95</v>
      </c>
      <c r="C13" s="25" t="s">
        <v>100</v>
      </c>
      <c r="D13" s="25" t="s">
        <v>58</v>
      </c>
      <c r="E13" s="25" t="s">
        <v>102</v>
      </c>
      <c r="F13" s="25">
        <v>7283851909</v>
      </c>
      <c r="G13" s="25">
        <v>101</v>
      </c>
      <c r="H13" s="94" t="s">
        <v>61</v>
      </c>
      <c r="I13" s="25"/>
      <c r="J13" s="25"/>
      <c r="K13" s="25"/>
      <c r="L13" s="25"/>
      <c r="M13" s="25"/>
      <c r="N13" s="27" t="s">
        <v>288</v>
      </c>
      <c r="O13" s="25" t="s">
        <v>74</v>
      </c>
      <c r="P13" s="25" t="s">
        <v>74</v>
      </c>
      <c r="Q13" s="36" t="s">
        <v>321</v>
      </c>
      <c r="R13" s="41" t="s">
        <v>206</v>
      </c>
      <c r="S13" s="42"/>
      <c r="T13" s="24"/>
    </row>
    <row r="14" spans="1:21" ht="60" customHeight="1" x14ac:dyDescent="0.25">
      <c r="A14" s="16">
        <v>12</v>
      </c>
      <c r="B14" s="68" t="s">
        <v>96</v>
      </c>
      <c r="C14" s="68" t="s">
        <v>100</v>
      </c>
      <c r="D14" s="68" t="s">
        <v>92</v>
      </c>
      <c r="E14" s="68" t="s">
        <v>260</v>
      </c>
      <c r="F14" s="68">
        <v>9898796888</v>
      </c>
      <c r="G14" s="68">
        <v>37</v>
      </c>
      <c r="H14" s="95">
        <f>DATE(2025,11,25)</f>
        <v>45986</v>
      </c>
      <c r="I14" s="68" t="s">
        <v>208</v>
      </c>
      <c r="J14" s="69" t="s">
        <v>302</v>
      </c>
      <c r="K14" s="68">
        <v>9501440007</v>
      </c>
      <c r="L14" s="69" t="s">
        <v>189</v>
      </c>
      <c r="M14" s="69" t="s">
        <v>196</v>
      </c>
      <c r="N14" s="68"/>
      <c r="O14" s="68" t="s">
        <v>74</v>
      </c>
      <c r="P14" s="69" t="s">
        <v>284</v>
      </c>
      <c r="Q14" s="96" t="s">
        <v>322</v>
      </c>
      <c r="R14" s="40" t="s">
        <v>207</v>
      </c>
      <c r="S14" s="24"/>
      <c r="T14" s="24"/>
    </row>
    <row r="15" spans="1:21" ht="60" customHeight="1" x14ac:dyDescent="0.25">
      <c r="A15" s="16">
        <v>13</v>
      </c>
      <c r="B15" s="97" t="s">
        <v>295</v>
      </c>
      <c r="C15" s="25" t="s">
        <v>100</v>
      </c>
      <c r="D15" s="25" t="s">
        <v>301</v>
      </c>
      <c r="E15" s="25" t="s">
        <v>371</v>
      </c>
      <c r="F15" s="71">
        <v>9586099888</v>
      </c>
      <c r="G15" s="71">
        <v>48</v>
      </c>
      <c r="H15" s="94">
        <f>DATE(2025,10,25)</f>
        <v>45955</v>
      </c>
      <c r="I15" s="71"/>
      <c r="J15" s="71"/>
      <c r="K15" s="71"/>
      <c r="L15" s="71"/>
      <c r="M15" s="71"/>
      <c r="N15" s="27" t="s">
        <v>297</v>
      </c>
      <c r="O15" s="71"/>
      <c r="P15" s="71"/>
      <c r="Q15" s="40" t="s">
        <v>322</v>
      </c>
      <c r="R15" s="90"/>
      <c r="S15" s="46"/>
      <c r="T15" s="91"/>
    </row>
    <row r="16" spans="1:21" ht="60" customHeight="1" x14ac:dyDescent="0.25">
      <c r="A16" s="56">
        <f>COUNT(A3:A15)</f>
        <v>13</v>
      </c>
      <c r="B16" s="64"/>
      <c r="C16" s="56"/>
      <c r="D16" s="56"/>
      <c r="E16" s="56"/>
      <c r="F16" s="16" t="s">
        <v>59</v>
      </c>
      <c r="G16" s="16">
        <f>SUM(G3:G15)</f>
        <v>809</v>
      </c>
      <c r="H16" s="56"/>
      <c r="I16" s="56"/>
      <c r="J16" s="56"/>
      <c r="K16" s="56"/>
      <c r="L16" s="56"/>
      <c r="M16" s="56"/>
      <c r="N16" s="56"/>
      <c r="O16" s="56"/>
      <c r="P16" s="56"/>
      <c r="Q16" s="56"/>
      <c r="R16" s="56"/>
      <c r="S16" s="56"/>
      <c r="T16" s="56"/>
    </row>
  </sheetData>
  <customSheetViews>
    <customSheetView guid="{DA27B973-C9F9-4BB8-8F0D-2541CE7CF8F4}" scale="85">
      <selection activeCell="V40" sqref="V40"/>
      <pageMargins left="0.7" right="0.7" top="0.75" bottom="0.75" header="0.3" footer="0.3"/>
      <pageSetup orientation="portrait" r:id="rId1"/>
    </customSheetView>
  </customSheetViews>
  <mergeCells count="1">
    <mergeCell ref="A1:T1"/>
  </mergeCells>
  <hyperlinks>
    <hyperlink ref="J6" r:id="rId2" xr:uid="{00000000-0004-0000-0500-000000000000}"/>
    <hyperlink ref="J7" r:id="rId3" xr:uid="{00000000-0004-0000-0500-000001000000}"/>
    <hyperlink ref="J11" r:id="rId4" xr:uid="{00000000-0004-0000-0500-000002000000}"/>
    <hyperlink ref="L3" r:id="rId5" xr:uid="{00000000-0004-0000-0500-000003000000}"/>
    <hyperlink ref="L5" r:id="rId6" xr:uid="{00000000-0004-0000-0500-000004000000}"/>
    <hyperlink ref="L6" r:id="rId7" xr:uid="{00000000-0004-0000-0500-000005000000}"/>
    <hyperlink ref="L7" r:id="rId8" xr:uid="{00000000-0004-0000-0500-000006000000}"/>
    <hyperlink ref="L8" r:id="rId9" xr:uid="{00000000-0004-0000-0500-000007000000}"/>
    <hyperlink ref="L9" r:id="rId10" xr:uid="{00000000-0004-0000-0500-000008000000}"/>
    <hyperlink ref="L11" r:id="rId11" xr:uid="{00000000-0004-0000-0500-000009000000}"/>
    <hyperlink ref="L14" r:id="rId12" xr:uid="{00000000-0004-0000-0500-00000A000000}"/>
    <hyperlink ref="M5" r:id="rId13" xr:uid="{00000000-0004-0000-0500-00000B000000}"/>
    <hyperlink ref="M6" r:id="rId14" xr:uid="{00000000-0004-0000-0500-00000C000000}"/>
    <hyperlink ref="M7" r:id="rId15" xr:uid="{00000000-0004-0000-0500-00000D000000}"/>
    <hyperlink ref="M8" r:id="rId16" xr:uid="{00000000-0004-0000-0500-00000E000000}"/>
    <hyperlink ref="M10" r:id="rId17" xr:uid="{00000000-0004-0000-0500-00000F000000}"/>
    <hyperlink ref="M11" r:id="rId18" xr:uid="{00000000-0004-0000-0500-000010000000}"/>
    <hyperlink ref="M14" r:id="rId19" xr:uid="{00000000-0004-0000-0500-000011000000}"/>
    <hyperlink ref="N6" r:id="rId20" xr:uid="{00000000-0004-0000-0500-000012000000}"/>
    <hyperlink ref="N8" r:id="rId21" xr:uid="{00000000-0004-0000-0500-000013000000}"/>
    <hyperlink ref="N10" r:id="rId22" xr:uid="{00000000-0004-0000-0500-000014000000}"/>
    <hyperlink ref="N11" r:id="rId23" xr:uid="{00000000-0004-0000-0500-000015000000}"/>
    <hyperlink ref="O3" r:id="rId24" xr:uid="{00000000-0004-0000-0500-000016000000}"/>
    <hyperlink ref="O5" r:id="rId25" xr:uid="{00000000-0004-0000-0500-000017000000}"/>
    <hyperlink ref="O6" r:id="rId26" xr:uid="{00000000-0004-0000-0500-000018000000}"/>
    <hyperlink ref="O7" r:id="rId27" xr:uid="{00000000-0004-0000-0500-000019000000}"/>
    <hyperlink ref="O8" r:id="rId28" xr:uid="{00000000-0004-0000-0500-00001A000000}"/>
    <hyperlink ref="P8" r:id="rId29" xr:uid="{00000000-0004-0000-0500-00001B000000}"/>
    <hyperlink ref="P14" r:id="rId30" xr:uid="{00000000-0004-0000-0500-00001C000000}"/>
    <hyperlink ref="N9" r:id="rId31" xr:uid="{00000000-0004-0000-0500-00001D000000}"/>
    <hyperlink ref="N13" r:id="rId32" xr:uid="{00000000-0004-0000-0500-00001E000000}"/>
    <hyperlink ref="N15" r:id="rId33" xr:uid="{00000000-0004-0000-0500-00001F000000}"/>
    <hyperlink ref="N4" r:id="rId34" xr:uid="{00000000-0004-0000-0500-000020000000}"/>
    <hyperlink ref="J14" r:id="rId35" xr:uid="{00000000-0004-0000-0500-000021000000}"/>
    <hyperlink ref="J8" r:id="rId36" xr:uid="{00000000-0004-0000-0500-000022000000}"/>
    <hyperlink ref="P5" r:id="rId37" xr:uid="{00000000-0004-0000-0500-000023000000}"/>
    <hyperlink ref="P6" r:id="rId38" xr:uid="{00000000-0004-0000-0500-000024000000}"/>
    <hyperlink ref="P7" r:id="rId39" xr:uid="{00000000-0004-0000-0500-000025000000}"/>
    <hyperlink ref="P3" r:id="rId40" xr:uid="{00000000-0004-0000-0500-000026000000}"/>
    <hyperlink ref="P10" r:id="rId41" xr:uid="{00000000-0004-0000-0500-000027000000}"/>
    <hyperlink ref="O10" r:id="rId42" xr:uid="{00000000-0004-0000-0500-000028000000}"/>
    <hyperlink ref="P11" r:id="rId43" xr:uid="{00000000-0004-0000-0500-000029000000}"/>
  </hyperlinks>
  <pageMargins left="0.7" right="0.7" top="0.75" bottom="0.75" header="0.3" footer="0.3"/>
  <pageSetup scale="13" orientation="portrait" r:id="rId44"/>
  <tableParts count="1">
    <tablePart r:id="rId4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6"/>
  <sheetViews>
    <sheetView zoomScale="70" zoomScaleNormal="70" workbookViewId="0">
      <selection activeCell="A3" sqref="A3:E4"/>
    </sheetView>
  </sheetViews>
  <sheetFormatPr defaultColWidth="15.7109375" defaultRowHeight="15" x14ac:dyDescent="0.25"/>
  <cols>
    <col min="1" max="1" width="7.140625" customWidth="1"/>
    <col min="2" max="2" width="19.5703125" customWidth="1"/>
    <col min="4" max="5" width="24.42578125" customWidth="1"/>
    <col min="6" max="6" width="21.85546875" customWidth="1"/>
    <col min="7" max="7" width="16.42578125" customWidth="1"/>
    <col min="8" max="8" width="18.7109375" customWidth="1"/>
    <col min="9" max="9" width="22.42578125" customWidth="1"/>
    <col min="10" max="10" width="29" customWidth="1"/>
    <col min="11" max="11" width="37.28515625" bestFit="1" customWidth="1"/>
    <col min="12" max="12" width="30.42578125" customWidth="1"/>
    <col min="13" max="13" width="22.140625" customWidth="1"/>
    <col min="14" max="14" width="28.42578125" customWidth="1"/>
    <col min="15" max="15" width="26.42578125" customWidth="1"/>
    <col min="16" max="16" width="35.7109375" customWidth="1"/>
    <col min="17" max="17" width="64.28515625" customWidth="1"/>
    <col min="18" max="18" width="33.5703125" hidden="1" customWidth="1"/>
    <col min="19" max="19" width="34" hidden="1" customWidth="1"/>
    <col min="20" max="20" width="21.5703125" hidden="1" customWidth="1"/>
    <col min="21" max="24" width="18.140625" customWidth="1"/>
  </cols>
  <sheetData>
    <row r="1" spans="1:56" ht="60" customHeight="1" x14ac:dyDescent="0.25">
      <c r="A1" s="130" t="s">
        <v>215</v>
      </c>
      <c r="B1" s="130"/>
      <c r="C1" s="130"/>
      <c r="D1" s="130"/>
      <c r="E1" s="130"/>
      <c r="F1" s="130"/>
      <c r="G1" s="130"/>
      <c r="H1" s="130"/>
      <c r="I1" s="130"/>
      <c r="J1" s="130"/>
      <c r="K1" s="130"/>
      <c r="L1" s="130"/>
      <c r="M1" s="130"/>
      <c r="N1" s="130"/>
      <c r="O1" s="130"/>
      <c r="P1" s="130"/>
      <c r="Q1" s="130"/>
      <c r="R1" s="130"/>
      <c r="S1" s="130"/>
      <c r="T1" s="130"/>
    </row>
    <row r="2" spans="1:56" s="7" customFormat="1" ht="60" customHeight="1" x14ac:dyDescent="0.25">
      <c r="A2" s="16" t="s">
        <v>0</v>
      </c>
      <c r="B2" s="16" t="s">
        <v>1</v>
      </c>
      <c r="C2" s="16" t="s">
        <v>53</v>
      </c>
      <c r="D2" s="16" t="s">
        <v>230</v>
      </c>
      <c r="E2" s="16" t="s">
        <v>231</v>
      </c>
      <c r="F2" s="16" t="s">
        <v>4</v>
      </c>
      <c r="G2" s="16" t="s">
        <v>2</v>
      </c>
      <c r="H2" s="16" t="s">
        <v>77</v>
      </c>
      <c r="I2" s="16" t="s">
        <v>5</v>
      </c>
      <c r="J2" s="16" t="s">
        <v>43</v>
      </c>
      <c r="K2" s="16" t="s">
        <v>75</v>
      </c>
      <c r="L2" s="16" t="s">
        <v>41</v>
      </c>
      <c r="M2" s="16" t="s">
        <v>38</v>
      </c>
      <c r="N2" s="16" t="s">
        <v>42</v>
      </c>
      <c r="O2" s="16" t="s">
        <v>40</v>
      </c>
      <c r="P2" s="16" t="s">
        <v>39</v>
      </c>
      <c r="Q2" s="22" t="s">
        <v>130</v>
      </c>
      <c r="R2" s="22" t="s">
        <v>145</v>
      </c>
      <c r="S2" s="22" t="s">
        <v>213</v>
      </c>
      <c r="T2" s="22" t="s">
        <v>129</v>
      </c>
      <c r="U2" s="5"/>
      <c r="V2" s="5"/>
      <c r="W2" s="5"/>
      <c r="X2" s="5"/>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row>
    <row r="3" spans="1:56" ht="60" customHeight="1" x14ac:dyDescent="0.25">
      <c r="A3" s="16">
        <v>1</v>
      </c>
      <c r="B3" s="16" t="s">
        <v>235</v>
      </c>
      <c r="C3" s="16" t="s">
        <v>36</v>
      </c>
      <c r="D3" s="16" t="s">
        <v>58</v>
      </c>
      <c r="E3" s="16" t="s">
        <v>37</v>
      </c>
      <c r="F3" s="16">
        <v>8800590867</v>
      </c>
      <c r="G3" s="16">
        <v>219</v>
      </c>
      <c r="H3" s="17">
        <v>46082</v>
      </c>
      <c r="I3" s="16" t="s">
        <v>261</v>
      </c>
      <c r="J3" s="10" t="s">
        <v>181</v>
      </c>
      <c r="K3" s="16">
        <v>9011074334</v>
      </c>
      <c r="L3" s="43" t="s">
        <v>224</v>
      </c>
      <c r="M3" s="43" t="s">
        <v>225</v>
      </c>
      <c r="N3" s="68"/>
      <c r="O3" s="121" t="s">
        <v>350</v>
      </c>
      <c r="P3" s="79" t="s">
        <v>281</v>
      </c>
      <c r="Q3" s="68" t="s">
        <v>372</v>
      </c>
      <c r="R3" s="32"/>
      <c r="S3" s="32"/>
      <c r="T3" s="32"/>
    </row>
    <row r="4" spans="1:56" ht="60" customHeight="1" x14ac:dyDescent="0.25">
      <c r="A4" s="16">
        <v>2</v>
      </c>
      <c r="B4" s="16" t="s">
        <v>331</v>
      </c>
      <c r="C4" s="16" t="s">
        <v>36</v>
      </c>
      <c r="D4" s="16" t="s">
        <v>332</v>
      </c>
      <c r="E4" s="16" t="s">
        <v>333</v>
      </c>
      <c r="F4" s="16"/>
      <c r="G4" s="16">
        <v>38</v>
      </c>
      <c r="H4" s="17">
        <v>45992</v>
      </c>
      <c r="I4" s="16"/>
      <c r="J4" s="77"/>
      <c r="K4" s="16"/>
      <c r="L4" s="16"/>
      <c r="M4" s="16"/>
      <c r="N4" s="25"/>
      <c r="O4" s="25"/>
      <c r="P4" s="10" t="s">
        <v>330</v>
      </c>
      <c r="Q4" s="25" t="s">
        <v>369</v>
      </c>
      <c r="R4" s="24"/>
      <c r="S4" s="24"/>
      <c r="T4" s="78"/>
    </row>
    <row r="5" spans="1:56" ht="60" customHeight="1" x14ac:dyDescent="0.25">
      <c r="A5" s="56">
        <f>COUNT(A3:A4)</f>
        <v>2</v>
      </c>
      <c r="B5" s="56"/>
      <c r="C5" s="56"/>
      <c r="D5" s="56"/>
      <c r="E5" s="56"/>
      <c r="F5" s="16" t="s">
        <v>104</v>
      </c>
      <c r="G5" s="16">
        <f>SUM(G3:G4)</f>
        <v>257</v>
      </c>
      <c r="H5" s="74"/>
      <c r="I5" s="56"/>
      <c r="J5" s="56"/>
      <c r="K5" s="56"/>
      <c r="L5" s="56"/>
      <c r="M5" s="56"/>
      <c r="N5" s="56"/>
      <c r="O5" s="56"/>
      <c r="P5" s="56"/>
      <c r="Q5" s="56"/>
      <c r="R5" s="56"/>
      <c r="S5" s="56"/>
      <c r="T5" s="56"/>
    </row>
    <row r="6" spans="1:56" ht="60" customHeight="1" x14ac:dyDescent="0.25">
      <c r="F6" s="23"/>
      <c r="G6" s="23"/>
      <c r="H6" s="44"/>
    </row>
  </sheetData>
  <customSheetViews>
    <customSheetView guid="{DA27B973-C9F9-4BB8-8F0D-2541CE7CF8F4}">
      <selection activeCell="H3" sqref="H3"/>
      <pageMargins left="0.7" right="0.7" top="0.75" bottom="0.75" header="0.3" footer="0.3"/>
    </customSheetView>
  </customSheetViews>
  <mergeCells count="1">
    <mergeCell ref="A1:T1"/>
  </mergeCells>
  <hyperlinks>
    <hyperlink ref="L3" r:id="rId1" xr:uid="{00000000-0004-0000-0600-000000000000}"/>
    <hyperlink ref="M3" r:id="rId2" xr:uid="{00000000-0004-0000-0600-000001000000}"/>
    <hyperlink ref="J3" r:id="rId3" xr:uid="{00000000-0004-0000-0600-000002000000}"/>
    <hyperlink ref="P3" r:id="rId4" xr:uid="{00000000-0004-0000-0600-000003000000}"/>
    <hyperlink ref="P4" r:id="rId5" xr:uid="{00000000-0004-0000-0600-000004000000}"/>
    <hyperlink ref="O3" r:id="rId6" xr:uid="{00000000-0004-0000-0600-000005000000}"/>
  </hyperlinks>
  <pageMargins left="0.7" right="0.7" top="0.75" bottom="0.75" header="0.3" footer="0.3"/>
  <pageSetup paperSize="8" scale="30" orientation="portrait" r:id="rId7"/>
  <tableParts count="1">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5"/>
  <sheetViews>
    <sheetView tabSelected="1" zoomScale="55" zoomScaleNormal="55" workbookViewId="0">
      <selection activeCell="E29" sqref="E29"/>
    </sheetView>
  </sheetViews>
  <sheetFormatPr defaultColWidth="15.7109375" defaultRowHeight="15" x14ac:dyDescent="0.25"/>
  <cols>
    <col min="1" max="1" width="8.42578125" customWidth="1"/>
    <col min="2" max="2" width="39" customWidth="1"/>
    <col min="3" max="3" width="20" customWidth="1"/>
    <col min="4" max="4" width="21.140625" customWidth="1"/>
    <col min="5" max="5" width="22.28515625" customWidth="1"/>
    <col min="6" max="6" width="18.7109375" customWidth="1"/>
    <col min="7" max="7" width="13.7109375" customWidth="1"/>
    <col min="8" max="8" width="21.85546875" customWidth="1"/>
    <col min="9" max="9" width="21.42578125" customWidth="1"/>
    <col min="10" max="10" width="40.7109375" customWidth="1"/>
    <col min="11" max="11" width="19.7109375" customWidth="1"/>
    <col min="12" max="12" width="38.42578125" customWidth="1"/>
    <col min="13" max="13" width="34.28515625" customWidth="1"/>
    <col min="14" max="14" width="26" customWidth="1"/>
    <col min="15" max="15" width="22.7109375" customWidth="1"/>
    <col min="16" max="16" width="33.5703125" customWidth="1"/>
    <col min="17" max="17" width="68.5703125" customWidth="1"/>
    <col min="18" max="18" width="33.140625" hidden="1" customWidth="1"/>
    <col min="19" max="19" width="33.5703125" hidden="1" customWidth="1"/>
    <col min="20" max="20" width="24.85546875" hidden="1" customWidth="1"/>
    <col min="21" max="25" width="18" customWidth="1"/>
  </cols>
  <sheetData>
    <row r="1" spans="1:55" ht="60" customHeight="1" x14ac:dyDescent="0.25">
      <c r="A1" s="130" t="s">
        <v>216</v>
      </c>
      <c r="B1" s="130"/>
      <c r="C1" s="130"/>
      <c r="D1" s="130"/>
      <c r="E1" s="130"/>
      <c r="F1" s="130"/>
      <c r="G1" s="130"/>
      <c r="H1" s="130"/>
      <c r="I1" s="130"/>
      <c r="J1" s="130"/>
      <c r="K1" s="130"/>
      <c r="L1" s="130"/>
      <c r="M1" s="130"/>
      <c r="N1" s="130"/>
      <c r="O1" s="130"/>
      <c r="P1" s="130"/>
      <c r="Q1" s="130"/>
      <c r="R1" s="130"/>
      <c r="S1" s="130"/>
    </row>
    <row r="2" spans="1:55" s="7" customFormat="1" ht="60" customHeight="1" x14ac:dyDescent="0.25">
      <c r="A2" s="16" t="s">
        <v>0</v>
      </c>
      <c r="B2" s="16" t="s">
        <v>1</v>
      </c>
      <c r="C2" s="16" t="s">
        <v>53</v>
      </c>
      <c r="D2" s="16" t="s">
        <v>232</v>
      </c>
      <c r="E2" s="16" t="s">
        <v>113</v>
      </c>
      <c r="F2" s="16" t="s">
        <v>4</v>
      </c>
      <c r="G2" s="16" t="s">
        <v>2</v>
      </c>
      <c r="H2" s="16" t="s">
        <v>77</v>
      </c>
      <c r="I2" s="16" t="s">
        <v>5</v>
      </c>
      <c r="J2" s="16" t="s">
        <v>43</v>
      </c>
      <c r="K2" s="16" t="s">
        <v>103</v>
      </c>
      <c r="L2" s="16" t="s">
        <v>41</v>
      </c>
      <c r="M2" s="16" t="s">
        <v>38</v>
      </c>
      <c r="N2" s="16" t="s">
        <v>42</v>
      </c>
      <c r="O2" s="16" t="s">
        <v>40</v>
      </c>
      <c r="P2" s="16" t="s">
        <v>39</v>
      </c>
      <c r="Q2" s="16" t="s">
        <v>130</v>
      </c>
      <c r="R2" s="16" t="s">
        <v>145</v>
      </c>
      <c r="S2" s="16" t="s">
        <v>217</v>
      </c>
      <c r="T2" s="18" t="s">
        <v>214</v>
      </c>
      <c r="U2" s="5"/>
      <c r="V2" s="5"/>
      <c r="W2" s="5"/>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s="1" customFormat="1" ht="60" customHeight="1" x14ac:dyDescent="0.25">
      <c r="A3" s="16">
        <v>1</v>
      </c>
      <c r="B3" s="16" t="s">
        <v>20</v>
      </c>
      <c r="C3" s="16" t="s">
        <v>56</v>
      </c>
      <c r="D3" s="16" t="s">
        <v>22</v>
      </c>
      <c r="E3" s="16" t="s">
        <v>21</v>
      </c>
      <c r="F3" s="16">
        <v>9004570963</v>
      </c>
      <c r="G3" s="16">
        <v>54</v>
      </c>
      <c r="H3" s="17">
        <v>45992</v>
      </c>
      <c r="I3" s="16" t="s">
        <v>23</v>
      </c>
      <c r="J3" s="10" t="s">
        <v>226</v>
      </c>
      <c r="K3" s="16">
        <v>9590194154</v>
      </c>
      <c r="L3" s="10" t="s">
        <v>227</v>
      </c>
      <c r="M3" s="10" t="s">
        <v>228</v>
      </c>
      <c r="N3" s="68"/>
      <c r="O3" s="68" t="s">
        <v>74</v>
      </c>
      <c r="P3" s="69" t="s">
        <v>351</v>
      </c>
      <c r="Q3" s="110" t="s">
        <v>370</v>
      </c>
      <c r="R3" s="24"/>
      <c r="S3" s="24"/>
      <c r="T3" s="72"/>
      <c r="U3" s="3"/>
      <c r="V3" s="3"/>
      <c r="W3" s="3"/>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5" ht="60" customHeight="1" x14ac:dyDescent="0.25">
      <c r="A4" s="46">
        <v>2</v>
      </c>
      <c r="B4" s="46" t="s">
        <v>236</v>
      </c>
      <c r="C4" s="16" t="s">
        <v>56</v>
      </c>
      <c r="D4" s="16" t="s">
        <v>92</v>
      </c>
      <c r="E4" s="16" t="s">
        <v>264</v>
      </c>
      <c r="F4" s="46"/>
      <c r="G4" s="46">
        <v>37</v>
      </c>
      <c r="H4" s="17">
        <f>DATE(2025,12,25)</f>
        <v>46016</v>
      </c>
      <c r="I4" s="16" t="s">
        <v>263</v>
      </c>
      <c r="J4" s="60" t="s">
        <v>262</v>
      </c>
      <c r="K4" s="61">
        <v>9741785607</v>
      </c>
      <c r="L4" s="50"/>
      <c r="M4" s="70"/>
      <c r="N4" s="71"/>
      <c r="O4" s="25" t="s">
        <v>74</v>
      </c>
      <c r="P4" s="27" t="s">
        <v>280</v>
      </c>
      <c r="Q4" s="111" t="s">
        <v>323</v>
      </c>
      <c r="R4" s="49"/>
      <c r="S4" s="49"/>
      <c r="T4" s="73"/>
    </row>
    <row r="5" spans="1:55" ht="36" x14ac:dyDescent="0.25">
      <c r="A5" s="56">
        <f>COUNT(A3:A4)</f>
        <v>2</v>
      </c>
      <c r="B5" s="56"/>
      <c r="C5" s="56"/>
      <c r="D5" s="56"/>
      <c r="E5" s="56"/>
      <c r="F5" s="26" t="s">
        <v>104</v>
      </c>
      <c r="G5" s="16">
        <f>G3+G4</f>
        <v>91</v>
      </c>
      <c r="H5" s="56"/>
      <c r="I5" s="56"/>
      <c r="J5" s="56"/>
      <c r="K5" s="56"/>
      <c r="L5" s="56"/>
      <c r="M5" s="56"/>
      <c r="N5" s="56"/>
      <c r="O5" s="56"/>
      <c r="P5" s="56"/>
      <c r="Q5" s="56"/>
      <c r="R5" s="56"/>
      <c r="S5" s="56"/>
    </row>
  </sheetData>
  <customSheetViews>
    <customSheetView guid="{DA27B973-C9F9-4BB8-8F0D-2541CE7CF8F4}" scale="55">
      <selection activeCell="A2" sqref="A2:XFD2"/>
      <pageMargins left="0.7" right="0.7" top="0.75" bottom="0.75" header="0.3" footer="0.3"/>
      <pageSetup orientation="portrait" r:id="rId1"/>
    </customSheetView>
  </customSheetViews>
  <mergeCells count="1">
    <mergeCell ref="A1:S1"/>
  </mergeCells>
  <hyperlinks>
    <hyperlink ref="J3" r:id="rId2" xr:uid="{00000000-0004-0000-0700-000000000000}"/>
    <hyperlink ref="L3" r:id="rId3" xr:uid="{00000000-0004-0000-0700-000001000000}"/>
    <hyperlink ref="M3" r:id="rId4" xr:uid="{00000000-0004-0000-0700-000002000000}"/>
    <hyperlink ref="J4" r:id="rId5" xr:uid="{00000000-0004-0000-0700-000003000000}"/>
    <hyperlink ref="P4" r:id="rId6" xr:uid="{00000000-0004-0000-0700-000004000000}"/>
    <hyperlink ref="P3" r:id="rId7" xr:uid="{00000000-0004-0000-0700-000005000000}"/>
  </hyperlinks>
  <pageMargins left="0.7" right="0.7" top="0.75" bottom="0.75" header="0.3" footer="0.3"/>
  <pageSetup scale="19" orientation="portrait" r:id="rId8"/>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Pan India Summary</vt:lpstr>
      <vt:lpstr>1. Additional</vt:lpstr>
      <vt:lpstr>2. North projects</vt:lpstr>
      <vt:lpstr>3. Mr.Ajith Kumar</vt:lpstr>
      <vt:lpstr>4. Mr. Kunal</vt:lpstr>
      <vt:lpstr>5. Mr. Vikas passi</vt:lpstr>
      <vt:lpstr>6. Mr. Shivam verma</vt:lpstr>
      <vt:lpstr>7. Mr. Sarvanan </vt:lpstr>
      <vt:lpstr>'3. Mr.Ajith Kumar'!Print_Area</vt:lpstr>
      <vt:lpstr>'4. Mr. Kunal'!Print_Area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Chand</dc:creator>
  <cp:lastModifiedBy>Projects</cp:lastModifiedBy>
  <cp:lastPrinted>2025-03-26T12:44:30Z</cp:lastPrinted>
  <dcterms:created xsi:type="dcterms:W3CDTF">2024-06-17T12:34:39Z</dcterms:created>
  <dcterms:modified xsi:type="dcterms:W3CDTF">2025-11-20T11:13:01Z</dcterms:modified>
</cp:coreProperties>
</file>